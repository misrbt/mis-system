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FILES\01 MIS FILES (2025)\Software Licenses\2025\"/>
    </mc:Choice>
  </mc:AlternateContent>
  <xr:revisionPtr revIDLastSave="0" documentId="13_ncr:1_{7C7EEEB4-3161-45D4-89D1-A00D184C1AD9}" xr6:coauthVersionLast="47" xr6:coauthVersionMax="47" xr10:uidLastSave="{00000000-0000-0000-0000-000000000000}"/>
  <bookViews>
    <workbookView xWindow="-120" yWindow="-120" windowWidth="29040" windowHeight="15720" tabRatio="728" firstSheet="1" activeTab="9" xr2:uid="{00000000-000D-0000-FFFF-FFFF00000000}"/>
  </bookViews>
  <sheets>
    <sheet name="Purchase License Summary" sheetId="12" r:id="rId1"/>
    <sheet name="Head Office" sheetId="1" r:id="rId2"/>
    <sheet name="Main Office" sheetId="2" r:id="rId3"/>
    <sheet name="Jasaan Branch" sheetId="4" r:id="rId4"/>
    <sheet name="Salay Branch" sheetId="3" r:id="rId5"/>
    <sheet name="CDO Branch" sheetId="5" r:id="rId6"/>
    <sheet name="Maramag Branch" sheetId="6" r:id="rId7"/>
    <sheet name="Gingoog BL" sheetId="9" r:id="rId8"/>
    <sheet name="Camiguin BL" sheetId="8" r:id="rId9"/>
    <sheet name="Butuan BL" sheetId="14" r:id="rId10"/>
    <sheet name="Kibawe BL" sheetId="15" r:id="rId11"/>
    <sheet name="Spare" sheetId="11" r:id="rId12"/>
    <sheet name="Summary (2)" sheetId="16" r:id="rId13"/>
    <sheet name="Summary" sheetId="7" r:id="rId14"/>
    <sheet name="License Confirmation Summary" sheetId="10" r:id="rId15"/>
    <sheet name="Total" sheetId="13" r:id="rId16"/>
  </sheets>
  <definedNames>
    <definedName name="_xlnm._FilterDatabase" localSheetId="8" hidden="1">'Camiguin BL'!$B$8:$J$12</definedName>
    <definedName name="_xlnm._FilterDatabase" localSheetId="5" hidden="1">'CDO Branch'!$B$8:$J$25</definedName>
    <definedName name="_xlnm._FilterDatabase" localSheetId="7" hidden="1">'Gingoog BL'!$B$8:$J$15</definedName>
    <definedName name="_xlnm._FilterDatabase" localSheetId="1" hidden="1">'Head Office'!$B$7:$J$32</definedName>
    <definedName name="_xlnm._FilterDatabase" localSheetId="3" hidden="1">'Jasaan Branch'!$B$8:$J$25</definedName>
    <definedName name="_xlnm._FilterDatabase" localSheetId="2" hidden="1">'Main Office'!$B$8:$J$20</definedName>
    <definedName name="_xlnm._FilterDatabase" localSheetId="6" hidden="1">'Maramag Branch'!$B$8:$J$17</definedName>
    <definedName name="_xlnm._FilterDatabase" localSheetId="4" hidden="1">'Salay Branch'!$B$8:$J$19</definedName>
    <definedName name="_xlnm.Print_Area" localSheetId="9">'Butuan BL'!$A$1:$J$32</definedName>
    <definedName name="_xlnm.Print_Area" localSheetId="8">'Camiguin BL'!$A$1:$J$32</definedName>
    <definedName name="_xlnm.Print_Area" localSheetId="5">'CDO Branch'!$A$1:$J$45</definedName>
    <definedName name="_xlnm.Print_Area" localSheetId="7">'Gingoog BL'!$A$1:$J$33</definedName>
    <definedName name="_xlnm.Print_Area" localSheetId="1">'Head Office'!$A$1:$J$52</definedName>
    <definedName name="_xlnm.Print_Area" localSheetId="3">'Jasaan Branch'!$A$1:$J$45</definedName>
    <definedName name="_xlnm.Print_Area" localSheetId="10">'Kibawe BL'!$A$1:$J$27</definedName>
    <definedName name="_xlnm.Print_Area" localSheetId="2">'Main Office'!$A$1:$J$42</definedName>
    <definedName name="_xlnm.Print_Area" localSheetId="6">'Maramag Branch'!$A$1:$J$38</definedName>
    <definedName name="_xlnm.Print_Area" localSheetId="0">'Purchase License Summary'!$A$1:$I$24</definedName>
    <definedName name="_xlnm.Print_Area" localSheetId="4">'Salay Branch'!$A$1:$J$39</definedName>
    <definedName name="_xlnm.Print_Area" localSheetId="11">Spare!$A$1:$I$35</definedName>
    <definedName name="_xlnm.Print_Area" localSheetId="13">Summary!$A$1:$S$104</definedName>
    <definedName name="_xlnm.Print_Area" localSheetId="12">'Summary (2)'!$A$1:$O$20</definedName>
  </definedNames>
  <calcPr calcId="191029"/>
</workbook>
</file>

<file path=xl/calcChain.xml><?xml version="1.0" encoding="utf-8"?>
<calcChain xmlns="http://schemas.openxmlformats.org/spreadsheetml/2006/main">
  <c r="B4" i="2" l="1"/>
  <c r="E18" i="15" l="1"/>
  <c r="E17" i="15"/>
  <c r="E18" i="14"/>
  <c r="E17" i="14"/>
  <c r="E17" i="8"/>
  <c r="E16" i="8"/>
  <c r="E19" i="9"/>
  <c r="E18" i="9"/>
  <c r="E22" i="6"/>
  <c r="E21" i="6"/>
  <c r="E30" i="5"/>
  <c r="E29" i="5"/>
  <c r="E24" i="3"/>
  <c r="E23" i="3"/>
  <c r="E30" i="4"/>
  <c r="E29" i="4"/>
  <c r="E25" i="2"/>
  <c r="E24" i="2"/>
  <c r="E36" i="1"/>
  <c r="E35" i="1"/>
  <c r="I33" i="5" l="1"/>
  <c r="I39" i="1"/>
  <c r="I28" i="2"/>
  <c r="D186" i="16"/>
  <c r="D185" i="16"/>
  <c r="D184" i="16"/>
  <c r="D183" i="16"/>
  <c r="D169" i="16"/>
  <c r="D168" i="16"/>
  <c r="D167" i="16"/>
  <c r="D24" i="2" l="1"/>
  <c r="I19" i="11"/>
  <c r="I18" i="11"/>
  <c r="I17" i="11"/>
  <c r="I16" i="11"/>
  <c r="I20" i="15"/>
  <c r="I19" i="15"/>
  <c r="I18" i="15"/>
  <c r="I17" i="15"/>
  <c r="D166" i="16" s="1"/>
  <c r="I20" i="14"/>
  <c r="D152" i="16" s="1"/>
  <c r="I19" i="14"/>
  <c r="D151" i="16" s="1"/>
  <c r="I18" i="14"/>
  <c r="D150" i="16" s="1"/>
  <c r="I17" i="14"/>
  <c r="D149" i="16" s="1"/>
  <c r="I19" i="8"/>
  <c r="D135" i="16" s="1"/>
  <c r="I18" i="8"/>
  <c r="D134" i="16" s="1"/>
  <c r="I17" i="8"/>
  <c r="D133" i="16" s="1"/>
  <c r="I16" i="8"/>
  <c r="D132" i="16" s="1"/>
  <c r="I21" i="9"/>
  <c r="D118" i="16" s="1"/>
  <c r="I20" i="9"/>
  <c r="D117" i="16" s="1"/>
  <c r="I19" i="9"/>
  <c r="D116" i="16" s="1"/>
  <c r="I18" i="9"/>
  <c r="D115" i="16" s="1"/>
  <c r="I24" i="6"/>
  <c r="D101" i="16" s="1"/>
  <c r="I23" i="6"/>
  <c r="D100" i="16" s="1"/>
  <c r="I22" i="6"/>
  <c r="D99" i="16" s="1"/>
  <c r="I21" i="6"/>
  <c r="D98" i="16" s="1"/>
  <c r="I32" i="5"/>
  <c r="D84" i="16" s="1"/>
  <c r="I31" i="5"/>
  <c r="D83" i="16" s="1"/>
  <c r="I30" i="5"/>
  <c r="D82" i="16" s="1"/>
  <c r="I29" i="5"/>
  <c r="D81" i="16" s="1"/>
  <c r="I26" i="3"/>
  <c r="D67" i="16" s="1"/>
  <c r="I25" i="3"/>
  <c r="D66" i="16" s="1"/>
  <c r="I24" i="3"/>
  <c r="D65" i="16" s="1"/>
  <c r="I23" i="3"/>
  <c r="D64" i="16" s="1"/>
  <c r="I32" i="4"/>
  <c r="D50" i="16" s="1"/>
  <c r="I31" i="4"/>
  <c r="D49" i="16" s="1"/>
  <c r="I30" i="4"/>
  <c r="D48" i="16" s="1"/>
  <c r="I29" i="4"/>
  <c r="D47" i="16" s="1"/>
  <c r="I27" i="2"/>
  <c r="D33" i="16" s="1"/>
  <c r="I26" i="2"/>
  <c r="D32" i="16" s="1"/>
  <c r="I25" i="2"/>
  <c r="D31" i="16" s="1"/>
  <c r="I24" i="2"/>
  <c r="D30" i="16" s="1"/>
  <c r="I38" i="1"/>
  <c r="D16" i="16" s="1"/>
  <c r="I37" i="1"/>
  <c r="D15" i="16" s="1"/>
  <c r="I36" i="1"/>
  <c r="D14" i="16" s="1"/>
  <c r="I35" i="1"/>
  <c r="D13" i="16" s="1"/>
  <c r="D46" i="1"/>
  <c r="N18" i="16" l="1"/>
  <c r="N19" i="16"/>
  <c r="N16" i="16"/>
  <c r="N17" i="16"/>
  <c r="B4" i="15"/>
  <c r="B4" i="14"/>
  <c r="B4" i="8"/>
  <c r="B4" i="9"/>
  <c r="B4" i="6"/>
  <c r="B4" i="5"/>
  <c r="B4" i="3"/>
  <c r="B4" i="4"/>
  <c r="D30" i="4"/>
  <c r="D43" i="16" s="1"/>
  <c r="E36" i="3"/>
  <c r="J68" i="16" s="1"/>
  <c r="D36" i="3"/>
  <c r="I68" i="16" s="1"/>
  <c r="E42" i="4"/>
  <c r="J51" i="16" s="1"/>
  <c r="D42" i="4"/>
  <c r="I51" i="16" s="1"/>
  <c r="E39" i="2"/>
  <c r="J34" i="16" s="1"/>
  <c r="D39" i="2"/>
  <c r="I34" i="16" s="1"/>
  <c r="N20" i="16" l="1"/>
  <c r="E50" i="1"/>
  <c r="J18" i="16" s="1"/>
  <c r="E49" i="1"/>
  <c r="J17" i="16" s="1"/>
  <c r="D49" i="1"/>
  <c r="I17" i="16" s="1"/>
  <c r="D50" i="1"/>
  <c r="I18" i="16" s="1"/>
  <c r="E24" i="11"/>
  <c r="J181" i="16" s="1"/>
  <c r="E23" i="11"/>
  <c r="J180" i="16" s="1"/>
  <c r="D24" i="11"/>
  <c r="I181" i="16" s="1"/>
  <c r="D23" i="11"/>
  <c r="I180" i="16" s="1"/>
  <c r="E25" i="15"/>
  <c r="J164" i="16" s="1"/>
  <c r="E24" i="15"/>
  <c r="J163" i="16" s="1"/>
  <c r="D25" i="15"/>
  <c r="I164" i="16" s="1"/>
  <c r="D24" i="15"/>
  <c r="I163" i="16" s="1"/>
  <c r="E25" i="14"/>
  <c r="J147" i="16" s="1"/>
  <c r="E24" i="14"/>
  <c r="J146" i="16" s="1"/>
  <c r="D25" i="14"/>
  <c r="I147" i="16" s="1"/>
  <c r="D24" i="14"/>
  <c r="I146" i="16" s="1"/>
  <c r="E25" i="8"/>
  <c r="J130" i="16" s="1"/>
  <c r="E24" i="8"/>
  <c r="J129" i="16" s="1"/>
  <c r="D24" i="8"/>
  <c r="I129" i="16" s="1"/>
  <c r="D25" i="8"/>
  <c r="I130" i="16" s="1"/>
  <c r="E26" i="9"/>
  <c r="J113" i="16" s="1"/>
  <c r="E25" i="9"/>
  <c r="J112" i="16" s="1"/>
  <c r="D26" i="9"/>
  <c r="I113" i="16" s="1"/>
  <c r="D25" i="9"/>
  <c r="I112" i="16" s="1"/>
  <c r="E38" i="5"/>
  <c r="J79" i="16" s="1"/>
  <c r="E37" i="5"/>
  <c r="J78" i="16" s="1"/>
  <c r="D38" i="5"/>
  <c r="I79" i="16" s="1"/>
  <c r="D37" i="5"/>
  <c r="I78" i="16" s="1"/>
  <c r="E31" i="3"/>
  <c r="J62" i="16" s="1"/>
  <c r="D31" i="3"/>
  <c r="I62" i="16" s="1"/>
  <c r="E37" i="4"/>
  <c r="J45" i="16" s="1"/>
  <c r="D37" i="4"/>
  <c r="I45" i="16" s="1"/>
  <c r="D36" i="4"/>
  <c r="I44" i="16" s="1"/>
  <c r="E36" i="4"/>
  <c r="J44" i="16" s="1"/>
  <c r="E33" i="2"/>
  <c r="J28" i="16" s="1"/>
  <c r="E32" i="2"/>
  <c r="J27" i="16" s="1"/>
  <c r="D33" i="2"/>
  <c r="I28" i="16" s="1"/>
  <c r="D32" i="2"/>
  <c r="I27" i="16" s="1"/>
  <c r="E43" i="1"/>
  <c r="J11" i="16" s="1"/>
  <c r="E42" i="1"/>
  <c r="J10" i="16" s="1"/>
  <c r="D43" i="1"/>
  <c r="I11" i="16" s="1"/>
  <c r="D42" i="1"/>
  <c r="E31" i="11"/>
  <c r="J188" i="16" s="1"/>
  <c r="D31" i="11"/>
  <c r="I188" i="16" s="1"/>
  <c r="E29" i="11"/>
  <c r="J185" i="16" s="1"/>
  <c r="D29" i="11"/>
  <c r="I185" i="16" s="1"/>
  <c r="E27" i="11"/>
  <c r="J184" i="16" s="1"/>
  <c r="E26" i="11"/>
  <c r="J183" i="16" s="1"/>
  <c r="D27" i="11"/>
  <c r="I184" i="16" s="1"/>
  <c r="D26" i="11"/>
  <c r="I183" i="16" s="1"/>
  <c r="F17" i="11"/>
  <c r="F179" i="16" s="1"/>
  <c r="F18" i="11"/>
  <c r="F180" i="16" s="1"/>
  <c r="F16" i="11"/>
  <c r="F178" i="16" s="1"/>
  <c r="E17" i="11"/>
  <c r="E179" i="16" s="1"/>
  <c r="E16" i="11"/>
  <c r="E178" i="16" s="1"/>
  <c r="D17" i="11"/>
  <c r="D179" i="16" s="1"/>
  <c r="D16" i="11"/>
  <c r="D178" i="16" s="1"/>
  <c r="F19" i="15"/>
  <c r="F163" i="16" s="1"/>
  <c r="F18" i="15"/>
  <c r="F162" i="16" s="1"/>
  <c r="E162" i="16"/>
  <c r="D18" i="15"/>
  <c r="D162" i="16" s="1"/>
  <c r="F17" i="15"/>
  <c r="F161" i="16" s="1"/>
  <c r="E161" i="16"/>
  <c r="D17" i="15"/>
  <c r="D161" i="16" s="1"/>
  <c r="E30" i="14"/>
  <c r="J154" i="16" s="1"/>
  <c r="D30" i="14"/>
  <c r="I154" i="16" s="1"/>
  <c r="E28" i="14"/>
  <c r="J150" i="16" s="1"/>
  <c r="E27" i="14"/>
  <c r="J149" i="16" s="1"/>
  <c r="D28" i="14"/>
  <c r="I150" i="16" s="1"/>
  <c r="D27" i="14"/>
  <c r="I149" i="16" s="1"/>
  <c r="F19" i="14"/>
  <c r="F146" i="16" s="1"/>
  <c r="F18" i="14"/>
  <c r="F145" i="16" s="1"/>
  <c r="F17" i="14"/>
  <c r="F144" i="16" s="1"/>
  <c r="E145" i="16"/>
  <c r="E144" i="16"/>
  <c r="D18" i="14"/>
  <c r="D145" i="16" s="1"/>
  <c r="D17" i="14"/>
  <c r="D144" i="16" s="1"/>
  <c r="E30" i="8"/>
  <c r="J137" i="16" s="1"/>
  <c r="E28" i="8"/>
  <c r="J133" i="16" s="1"/>
  <c r="E27" i="8"/>
  <c r="J132" i="16" s="1"/>
  <c r="D27" i="8"/>
  <c r="I132" i="16" s="1"/>
  <c r="D28" i="8"/>
  <c r="I133" i="16" s="1"/>
  <c r="D30" i="8"/>
  <c r="I137" i="16" s="1"/>
  <c r="F18" i="8"/>
  <c r="F129" i="16" s="1"/>
  <c r="F17" i="8"/>
  <c r="F128" i="16" s="1"/>
  <c r="F16" i="8"/>
  <c r="F127" i="16" s="1"/>
  <c r="E128" i="16"/>
  <c r="E127" i="16"/>
  <c r="D17" i="8"/>
  <c r="D128" i="16" s="1"/>
  <c r="D16" i="8"/>
  <c r="D127" i="16" s="1"/>
  <c r="E31" i="9"/>
  <c r="J120" i="16" s="1"/>
  <c r="E29" i="9"/>
  <c r="J116" i="16" s="1"/>
  <c r="E28" i="9"/>
  <c r="J115" i="16" s="1"/>
  <c r="D31" i="9"/>
  <c r="I120" i="16" s="1"/>
  <c r="D29" i="9"/>
  <c r="I116" i="16" s="1"/>
  <c r="D28" i="9"/>
  <c r="I115" i="16" s="1"/>
  <c r="F20" i="9"/>
  <c r="F112" i="16" s="1"/>
  <c r="F19" i="9"/>
  <c r="F111" i="16" s="1"/>
  <c r="F18" i="9"/>
  <c r="F110" i="16" s="1"/>
  <c r="E111" i="16"/>
  <c r="D19" i="9"/>
  <c r="D111" i="16" s="1"/>
  <c r="E110" i="16"/>
  <c r="D18" i="9"/>
  <c r="D110" i="16" s="1"/>
  <c r="E36" i="6"/>
  <c r="J103" i="16" s="1"/>
  <c r="E35" i="6"/>
  <c r="J102" i="16" s="1"/>
  <c r="D35" i="6"/>
  <c r="I102" i="16" s="1"/>
  <c r="D36" i="6"/>
  <c r="I103" i="16" s="1"/>
  <c r="E33" i="6"/>
  <c r="J99" i="16" s="1"/>
  <c r="E32" i="6"/>
  <c r="J98" i="16" s="1"/>
  <c r="D33" i="6"/>
  <c r="I99" i="16" s="1"/>
  <c r="D32" i="6"/>
  <c r="I98" i="16" s="1"/>
  <c r="E30" i="6"/>
  <c r="J96" i="16" s="1"/>
  <c r="E29" i="6"/>
  <c r="J95" i="16" s="1"/>
  <c r="D30" i="6"/>
  <c r="I96" i="16" s="1"/>
  <c r="D29" i="6"/>
  <c r="I95" i="16" s="1"/>
  <c r="F22" i="6"/>
  <c r="F94" i="16" s="1"/>
  <c r="F23" i="6"/>
  <c r="F95" i="16" s="1"/>
  <c r="F21" i="6"/>
  <c r="F93" i="16" s="1"/>
  <c r="E94" i="16"/>
  <c r="E93" i="16"/>
  <c r="D22" i="6"/>
  <c r="D94" i="16" s="1"/>
  <c r="D21" i="6"/>
  <c r="D93" i="16" s="1"/>
  <c r="E43" i="5"/>
  <c r="J86" i="16" s="1"/>
  <c r="D43" i="5"/>
  <c r="I86" i="16" s="1"/>
  <c r="E37" i="3"/>
  <c r="J69" i="16" s="1"/>
  <c r="D37" i="3"/>
  <c r="I69" i="16" s="1"/>
  <c r="E41" i="5"/>
  <c r="J82" i="16" s="1"/>
  <c r="D41" i="5"/>
  <c r="I82" i="16" s="1"/>
  <c r="E40" i="5"/>
  <c r="J81" i="16" s="1"/>
  <c r="D40" i="5"/>
  <c r="I81" i="16" s="1"/>
  <c r="F31" i="5"/>
  <c r="F78" i="16" s="1"/>
  <c r="F30" i="5"/>
  <c r="F77" i="16" s="1"/>
  <c r="F29" i="5"/>
  <c r="F76" i="16" s="1"/>
  <c r="E77" i="16"/>
  <c r="E76" i="16"/>
  <c r="D30" i="5"/>
  <c r="D77" i="16" s="1"/>
  <c r="D29" i="5"/>
  <c r="D76" i="16" s="1"/>
  <c r="E30" i="3"/>
  <c r="J61" i="16" s="1"/>
  <c r="D30" i="3"/>
  <c r="I61" i="16" s="1"/>
  <c r="E34" i="3"/>
  <c r="J65" i="16" s="1"/>
  <c r="E33" i="3"/>
  <c r="J64" i="16" s="1"/>
  <c r="D33" i="3"/>
  <c r="I64" i="16" s="1"/>
  <c r="D34" i="3"/>
  <c r="I65" i="16" s="1"/>
  <c r="F25" i="3"/>
  <c r="F61" i="16" s="1"/>
  <c r="F24" i="3"/>
  <c r="F60" i="16" s="1"/>
  <c r="F23" i="3"/>
  <c r="F59" i="16" s="1"/>
  <c r="E60" i="16"/>
  <c r="E59" i="16"/>
  <c r="D24" i="3"/>
  <c r="D60" i="16" s="1"/>
  <c r="D23" i="3"/>
  <c r="D59" i="16" s="1"/>
  <c r="E40" i="2"/>
  <c r="J35" i="16" s="1"/>
  <c r="E36" i="2"/>
  <c r="J31" i="16" s="1"/>
  <c r="E35" i="2"/>
  <c r="J30" i="16" s="1"/>
  <c r="D40" i="2"/>
  <c r="I35" i="16" s="1"/>
  <c r="D36" i="2"/>
  <c r="I31" i="16" s="1"/>
  <c r="D35" i="2"/>
  <c r="I30" i="16" s="1"/>
  <c r="E47" i="1"/>
  <c r="J15" i="16" s="1"/>
  <c r="E46" i="1"/>
  <c r="J14" i="16" s="1"/>
  <c r="E45" i="1"/>
  <c r="J13" i="16" s="1"/>
  <c r="D47" i="1"/>
  <c r="I15" i="16" s="1"/>
  <c r="N10" i="16" s="1"/>
  <c r="I14" i="16"/>
  <c r="D45" i="1"/>
  <c r="I13" i="16" s="1"/>
  <c r="D40" i="4"/>
  <c r="I48" i="16" s="1"/>
  <c r="D43" i="4"/>
  <c r="I52" i="16" s="1"/>
  <c r="E43" i="4"/>
  <c r="J52" i="16" s="1"/>
  <c r="E40" i="4"/>
  <c r="J48" i="16" s="1"/>
  <c r="D39" i="4"/>
  <c r="I47" i="16" s="1"/>
  <c r="E39" i="4"/>
  <c r="J47" i="16" s="1"/>
  <c r="F31" i="4"/>
  <c r="F44" i="16" s="1"/>
  <c r="F30" i="4"/>
  <c r="F43" i="16" s="1"/>
  <c r="F29" i="4"/>
  <c r="F42" i="16" s="1"/>
  <c r="E43" i="16"/>
  <c r="E42" i="16"/>
  <c r="D29" i="4"/>
  <c r="D42" i="16" s="1"/>
  <c r="F37" i="1"/>
  <c r="F12" i="7" s="1"/>
  <c r="F36" i="1"/>
  <c r="F11" i="7" s="1"/>
  <c r="F35" i="1"/>
  <c r="F10" i="7" s="1"/>
  <c r="E11" i="7"/>
  <c r="E10" i="7"/>
  <c r="D36" i="1"/>
  <c r="D11" i="7" s="1"/>
  <c r="D35" i="1"/>
  <c r="D10" i="7" s="1"/>
  <c r="F26" i="2"/>
  <c r="F27" i="16" s="1"/>
  <c r="F25" i="2"/>
  <c r="F26" i="16" s="1"/>
  <c r="F24" i="2"/>
  <c r="F25" i="16" s="1"/>
  <c r="E26" i="16"/>
  <c r="E25" i="16"/>
  <c r="D25" i="2"/>
  <c r="D26" i="16" s="1"/>
  <c r="D25" i="16"/>
  <c r="I189" i="16" l="1"/>
  <c r="J189" i="16"/>
  <c r="J70" i="16"/>
  <c r="I104" i="16"/>
  <c r="J87" i="16"/>
  <c r="J121" i="16"/>
  <c r="E32" i="11"/>
  <c r="J155" i="16"/>
  <c r="J104" i="16"/>
  <c r="I105" i="16" s="1"/>
  <c r="D37" i="6"/>
  <c r="I138" i="16"/>
  <c r="I172" i="16"/>
  <c r="I173" i="16" s="1"/>
  <c r="I87" i="16"/>
  <c r="J138" i="16"/>
  <c r="I53" i="16"/>
  <c r="I121" i="16"/>
  <c r="I122" i="16" s="1"/>
  <c r="I155" i="16"/>
  <c r="D32" i="11"/>
  <c r="I70" i="16"/>
  <c r="I71" i="16" s="1"/>
  <c r="J53" i="16"/>
  <c r="I36" i="16"/>
  <c r="J36" i="16"/>
  <c r="D38" i="3"/>
  <c r="D44" i="5"/>
  <c r="E37" i="6"/>
  <c r="N9" i="16"/>
  <c r="N11" i="16"/>
  <c r="D31" i="8"/>
  <c r="E31" i="8"/>
  <c r="D32" i="9"/>
  <c r="J172" i="16"/>
  <c r="E32" i="9"/>
  <c r="D44" i="4"/>
  <c r="E44" i="4"/>
  <c r="D51" i="1"/>
  <c r="E51" i="1"/>
  <c r="J19" i="16"/>
  <c r="F9" i="16"/>
  <c r="F10" i="16"/>
  <c r="I10" i="16"/>
  <c r="E9" i="16"/>
  <c r="D8" i="16"/>
  <c r="E8" i="16"/>
  <c r="F8" i="16"/>
  <c r="D9" i="16"/>
  <c r="D41" i="2"/>
  <c r="E41" i="2"/>
  <c r="D31" i="14"/>
  <c r="E31" i="14"/>
  <c r="E44" i="5"/>
  <c r="E38" i="3"/>
  <c r="I88" i="16" l="1"/>
  <c r="I190" i="16"/>
  <c r="I156" i="16"/>
  <c r="I139" i="16"/>
  <c r="I54" i="16"/>
  <c r="I37" i="16"/>
  <c r="I19" i="16"/>
  <c r="N8" i="16"/>
  <c r="N14" i="16" s="1"/>
  <c r="I20" i="16"/>
  <c r="E26" i="15"/>
  <c r="D26" i="15"/>
  <c r="D27" i="15" l="1"/>
  <c r="J113" i="7"/>
  <c r="I113" i="7"/>
  <c r="F108" i="7"/>
  <c r="D108" i="7"/>
  <c r="F107" i="7"/>
  <c r="E107" i="7"/>
  <c r="I114" i="7" l="1"/>
  <c r="D32" i="14" l="1"/>
  <c r="I24" i="12"/>
  <c r="I18" i="12"/>
  <c r="I10" i="12"/>
  <c r="B33" i="12" s="1"/>
  <c r="D33" i="11" l="1"/>
  <c r="M19" i="7"/>
  <c r="M15" i="7"/>
  <c r="J101" i="7" l="1"/>
  <c r="I101" i="7"/>
  <c r="J90" i="7"/>
  <c r="I90" i="7"/>
  <c r="J78" i="7"/>
  <c r="I78" i="7"/>
  <c r="J65" i="7"/>
  <c r="I65" i="7"/>
  <c r="J54" i="7"/>
  <c r="I54" i="7"/>
  <c r="J43" i="7"/>
  <c r="I43" i="7"/>
  <c r="J32" i="7"/>
  <c r="I32" i="7"/>
  <c r="J21" i="7"/>
  <c r="I21" i="7"/>
  <c r="D45" i="4"/>
  <c r="M71" i="7" l="1"/>
  <c r="M70" i="7"/>
  <c r="M72" i="7" s="1"/>
  <c r="D39" i="3"/>
  <c r="D42" i="2"/>
  <c r="I44" i="7"/>
  <c r="D52" i="1"/>
  <c r="A33" i="12" s="1"/>
  <c r="I79" i="7"/>
  <c r="I91" i="7"/>
  <c r="I33" i="7"/>
  <c r="I22" i="7"/>
  <c r="I66" i="7"/>
  <c r="I55" i="7"/>
  <c r="I102" i="7"/>
  <c r="D45" i="5"/>
  <c r="D32" i="8"/>
  <c r="D33" i="9"/>
  <c r="D38" i="6"/>
  <c r="F97" i="7"/>
  <c r="F96" i="7"/>
  <c r="F95" i="7"/>
  <c r="E96" i="7"/>
  <c r="E95" i="7"/>
  <c r="D96" i="7"/>
  <c r="D95" i="7"/>
  <c r="F86" i="7"/>
  <c r="F85" i="7"/>
  <c r="F84" i="7"/>
  <c r="E85" i="7"/>
  <c r="E84" i="7"/>
  <c r="D85" i="7"/>
  <c r="F73" i="7" l="1"/>
  <c r="F72" i="7"/>
  <c r="F71" i="7"/>
  <c r="E72" i="7"/>
  <c r="E71" i="7"/>
  <c r="D72" i="7"/>
  <c r="F61" i="7"/>
  <c r="F60" i="7"/>
  <c r="F59" i="7"/>
  <c r="E60" i="7"/>
  <c r="E59" i="7"/>
  <c r="D60" i="7"/>
  <c r="D59" i="7"/>
  <c r="F50" i="7"/>
  <c r="F49" i="7"/>
  <c r="F48" i="7"/>
  <c r="E49" i="7"/>
  <c r="E48" i="7"/>
  <c r="F38" i="7"/>
  <c r="F37" i="7"/>
  <c r="E38" i="7"/>
  <c r="E37" i="7"/>
  <c r="D38" i="7"/>
  <c r="D37" i="7"/>
  <c r="F27" i="7"/>
  <c r="F26" i="7"/>
  <c r="E26" i="7"/>
  <c r="O20" i="7" l="1"/>
  <c r="M20" i="7"/>
</calcChain>
</file>

<file path=xl/sharedStrings.xml><?xml version="1.0" encoding="utf-8"?>
<sst xmlns="http://schemas.openxmlformats.org/spreadsheetml/2006/main" count="1992" uniqueCount="406">
  <si>
    <t>HR Manager</t>
  </si>
  <si>
    <t>Compliance Manager</t>
  </si>
  <si>
    <t>Executive Assistant</t>
  </si>
  <si>
    <t>Desktop</t>
  </si>
  <si>
    <t>Laptop</t>
  </si>
  <si>
    <t>Win 7 Pro GGWA</t>
  </si>
  <si>
    <t>Windows 8</t>
  </si>
  <si>
    <t>Windows 10</t>
  </si>
  <si>
    <t>CAL</t>
  </si>
  <si>
    <t>DESIGNATION</t>
  </si>
  <si>
    <t>USER</t>
  </si>
  <si>
    <t>ITEM TYPE</t>
  </si>
  <si>
    <t>OPERATING SYSTEM</t>
  </si>
  <si>
    <t>OFFICE TOOLS</t>
  </si>
  <si>
    <t>CLIENT ACCESS</t>
  </si>
  <si>
    <t>OPEN OFFICE</t>
  </si>
  <si>
    <t>Excluded</t>
  </si>
  <si>
    <t>SUMMARY</t>
  </si>
  <si>
    <t>No. of Users w/ License</t>
  </si>
  <si>
    <t>No. of Users w/o License</t>
  </si>
  <si>
    <t>OS</t>
  </si>
  <si>
    <t>MS OFFICE</t>
  </si>
  <si>
    <t>RBT BANK, INC.</t>
  </si>
  <si>
    <t>SOFTWARE LICENSE INVENTORY</t>
  </si>
  <si>
    <t>HEAD OFFICE</t>
  </si>
  <si>
    <t>MAIN OFFICE</t>
  </si>
  <si>
    <t>Cashier</t>
  </si>
  <si>
    <t>Assistant Cashier</t>
  </si>
  <si>
    <t>Loans Bookkeeper</t>
  </si>
  <si>
    <t>NONE</t>
  </si>
  <si>
    <t>SALAY BRANCH</t>
  </si>
  <si>
    <t>MS OFFICE STD 2010</t>
  </si>
  <si>
    <t>JASAAN BRANCH</t>
  </si>
  <si>
    <t>MFU Supervisor</t>
  </si>
  <si>
    <t>CIC PC</t>
  </si>
  <si>
    <t>CDO BRANCH</t>
  </si>
  <si>
    <t>MARAMAG BRANCH</t>
  </si>
  <si>
    <t>Teller</t>
  </si>
  <si>
    <t>BANKWIDE SUMMARY</t>
  </si>
  <si>
    <t>OS BREAKDOWN</t>
  </si>
  <si>
    <t>MS Office</t>
  </si>
  <si>
    <t>Users w/ License</t>
  </si>
  <si>
    <t>No. of Users w/out License</t>
  </si>
  <si>
    <t>Users w/out License</t>
  </si>
  <si>
    <t>Windows 7</t>
  </si>
  <si>
    <t>TOTAL</t>
  </si>
  <si>
    <t>Date Licensed</t>
  </si>
  <si>
    <t>Quantity</t>
  </si>
  <si>
    <t>Windows Server 2016</t>
  </si>
  <si>
    <t>Windows Server 2008</t>
  </si>
  <si>
    <t>Microsoft Office 2010</t>
  </si>
  <si>
    <t>Windows Server CAL</t>
  </si>
  <si>
    <t>Microsoft Part Number</t>
  </si>
  <si>
    <t>FQC-09478</t>
  </si>
  <si>
    <t>Product Description</t>
  </si>
  <si>
    <t>Version</t>
  </si>
  <si>
    <t>Licensed Date</t>
  </si>
  <si>
    <t>Microsoft®WindowsProfessional 10 Sngl OLP 1License NoLevel Legalization GetGenuine</t>
  </si>
  <si>
    <t>Type</t>
  </si>
  <si>
    <t>Desktop OS</t>
  </si>
  <si>
    <t>Microsoft®WindowsServerSTDCORE 2016 Sngl OLP 2Licenses NoLevel CoreLic</t>
  </si>
  <si>
    <t>9EM-00124</t>
  </si>
  <si>
    <t>Server OS</t>
  </si>
  <si>
    <t>Authorization Number</t>
  </si>
  <si>
    <t>License Number</t>
  </si>
  <si>
    <t>Distributor Purchase Order Number</t>
  </si>
  <si>
    <t>98279325ZZS1903</t>
  </si>
  <si>
    <t>FP099011</t>
  </si>
  <si>
    <t>98276546ZZS1903</t>
  </si>
  <si>
    <t>Microsoft®WindowsProfessional 7 Sngl OLP 1License NoLevel Legalization GetGenuine</t>
  </si>
  <si>
    <t>FQC-02872</t>
  </si>
  <si>
    <t>68516923ZZS1305</t>
  </si>
  <si>
    <t>004800</t>
  </si>
  <si>
    <t>Microsoft® Office 2010 Sngl OPEN 1 License No Level</t>
  </si>
  <si>
    <t>021-09707</t>
  </si>
  <si>
    <t>68516159ZZS1305</t>
  </si>
  <si>
    <t>004801</t>
  </si>
  <si>
    <t>Microsoft® Windows® Server CAL 2008 Sngl OPEN 1 License No Level Device CAL Device CAL</t>
  </si>
  <si>
    <t>R18-02729</t>
  </si>
  <si>
    <t>Server Client Access</t>
  </si>
  <si>
    <t>Microsoft® Windows® Server Standard 2008 R2 Sngl OPEN 1 License No Level</t>
  </si>
  <si>
    <t>P73-04982</t>
  </si>
  <si>
    <t>2008 R2</t>
  </si>
  <si>
    <t>Windows Starter</t>
  </si>
  <si>
    <t>BDA</t>
  </si>
  <si>
    <t>Main Office Manager</t>
  </si>
  <si>
    <t>Salay Branch Manager</t>
  </si>
  <si>
    <t>CDO Branch Manager</t>
  </si>
  <si>
    <t>Maramag Manager</t>
  </si>
  <si>
    <t>Particular</t>
  </si>
  <si>
    <t>Junior Accountant</t>
  </si>
  <si>
    <t>MS OFFICE 2016</t>
  </si>
  <si>
    <t>Windows 10 Pro</t>
  </si>
  <si>
    <t>Microsoft Office 2016</t>
  </si>
  <si>
    <t>MIS Head</t>
  </si>
  <si>
    <t>Windows 10 Pro OEM</t>
  </si>
  <si>
    <t>Win 10 Pro</t>
  </si>
  <si>
    <t>MFU Manager</t>
  </si>
  <si>
    <t>Desktop PC</t>
  </si>
  <si>
    <t>Pro  OEM</t>
  </si>
  <si>
    <t>Pro</t>
  </si>
  <si>
    <t>Pro GGWA</t>
  </si>
  <si>
    <t>Starter OEM</t>
  </si>
  <si>
    <t>Total</t>
  </si>
  <si>
    <t>Note:</t>
  </si>
  <si>
    <t>Starter</t>
  </si>
  <si>
    <t>Win10 Pro</t>
  </si>
  <si>
    <t>MS Office 2010</t>
  </si>
  <si>
    <t>MS Office 2016</t>
  </si>
  <si>
    <t>CURRENT LOCATION</t>
  </si>
  <si>
    <t>FORMER USER</t>
  </si>
  <si>
    <t>MIS OFFICE</t>
  </si>
  <si>
    <t xml:space="preserve">VIRGENCITA DAISY Q. CARAEL </t>
  </si>
  <si>
    <t xml:space="preserve">PHSYCHE JOY B. CENA </t>
  </si>
  <si>
    <t xml:space="preserve">FREVIE EVE R. ALIDO </t>
  </si>
  <si>
    <t>Win 8 OEM</t>
  </si>
  <si>
    <t>Pro OEM</t>
  </si>
  <si>
    <t>User</t>
  </si>
  <si>
    <t>Operating System</t>
  </si>
  <si>
    <t>Date Acquired</t>
  </si>
  <si>
    <t>HP Laptop (spare)</t>
  </si>
  <si>
    <t>BLU Head (spare)</t>
  </si>
  <si>
    <t>HP Netbook (spare)</t>
  </si>
  <si>
    <t>Windows 7 Pro GGWA</t>
  </si>
  <si>
    <t>Asus Netbook (spare)</t>
  </si>
  <si>
    <t>Windows 8 Pro OEM</t>
  </si>
  <si>
    <t>SPARE LAPTOPS WITH LICENSES</t>
  </si>
  <si>
    <t>IRA REGINE M. PANGAN</t>
  </si>
  <si>
    <t>MS OFFICE 2010 STD</t>
  </si>
  <si>
    <t>GINGOOG BLU</t>
  </si>
  <si>
    <t>CAMIGUIN BLU</t>
  </si>
  <si>
    <t>Manager III, Head-HR Section</t>
  </si>
  <si>
    <t>Manager III, Head-Audit Section</t>
  </si>
  <si>
    <t>Manager II, Head-MFU</t>
  </si>
  <si>
    <t>CENA, Phsyche Joy B.</t>
  </si>
  <si>
    <t>VACALARES, Pepito V. Jr.</t>
  </si>
  <si>
    <t xml:space="preserve">BADIC, Emielyn R. </t>
  </si>
  <si>
    <t>CARAEL, Virgencita Daisy Q.</t>
  </si>
  <si>
    <t>ALIDO, Frevie Eve R.</t>
  </si>
  <si>
    <t>BAILO, Thesil M.</t>
  </si>
  <si>
    <t>PANGAN, Ira Regine M.</t>
  </si>
  <si>
    <t>Administrative Assistant I</t>
  </si>
  <si>
    <t>JUMOC, Monique A.</t>
  </si>
  <si>
    <t>HR Specialist I</t>
  </si>
  <si>
    <t>PAMISA, Leoreme B.</t>
  </si>
  <si>
    <t>Compliance Specialist II</t>
  </si>
  <si>
    <t>VACALARES, Kristine Glo P.</t>
  </si>
  <si>
    <t>DOMINGUEZ, Jeson T.</t>
  </si>
  <si>
    <t>Appraiser I</t>
  </si>
  <si>
    <t>PALARCA, Kara May Fatima P.</t>
  </si>
  <si>
    <t>Asset Management Supervisor</t>
  </si>
  <si>
    <t>MABALE, Ivy Marie C.</t>
  </si>
  <si>
    <t>Accounting Clerk I</t>
  </si>
  <si>
    <t xml:space="preserve">DAGOLDOL, Rhea B. </t>
  </si>
  <si>
    <t>BALINGKIT, Nancy U.</t>
  </si>
  <si>
    <t>Manager I, Head-Main Office</t>
  </si>
  <si>
    <t>CABOTAJE, Johanna Evan O.</t>
  </si>
  <si>
    <t>COSTUDIO, Grace L.</t>
  </si>
  <si>
    <t>Loan Officer I</t>
  </si>
  <si>
    <t>General Bookkeeper II</t>
  </si>
  <si>
    <t>ONIO, Ruby Mae B.</t>
  </si>
  <si>
    <t>OBEDENCIO, May Rachel P.</t>
  </si>
  <si>
    <t>Cashier I</t>
  </si>
  <si>
    <t>Customer Associate I</t>
  </si>
  <si>
    <t>Teller I</t>
  </si>
  <si>
    <t>SUNOT, Venus P.</t>
  </si>
  <si>
    <t>GAVASAN, Gemma R.</t>
  </si>
  <si>
    <t>Loans Bookkeeper I</t>
  </si>
  <si>
    <t>ESPANTALEON, Lyca K.</t>
  </si>
  <si>
    <t xml:space="preserve">CASTRO, Darwinda B. </t>
  </si>
  <si>
    <t>Loan Processor I</t>
  </si>
  <si>
    <t>POLINAR, Alby Y.</t>
  </si>
  <si>
    <t>Account Officer I</t>
  </si>
  <si>
    <t>Manager III, Head-Jasaan Branch</t>
  </si>
  <si>
    <t>CALUSA, Rezile O.</t>
  </si>
  <si>
    <t>LOBUSTA, Ma. Glenda S.</t>
  </si>
  <si>
    <t>DUMAPIAS, Melanie E.</t>
  </si>
  <si>
    <t>PABAYO, Nova D.</t>
  </si>
  <si>
    <t>SABAL, Kemberly Ritz N.</t>
  </si>
  <si>
    <t>TANGARORANG, Anabella C.</t>
  </si>
  <si>
    <t>MACABODBOD, Myrna V.</t>
  </si>
  <si>
    <t>Accounting Clerk II</t>
  </si>
  <si>
    <t>ZAMAYLA, Jefferson M.</t>
  </si>
  <si>
    <t>Office Assistant (Manolo-BLU)</t>
  </si>
  <si>
    <t>MIS Section</t>
  </si>
  <si>
    <t>Account Officer II</t>
  </si>
  <si>
    <t>AMPUSTA, Johnny A.</t>
  </si>
  <si>
    <t>Manager I, Head-Salay Branch</t>
  </si>
  <si>
    <t>CASIÑO, Kathrine N.</t>
  </si>
  <si>
    <t>MABALE, Vic L.</t>
  </si>
  <si>
    <t>General Bookkeeper I</t>
  </si>
  <si>
    <t>KIONISALA, Jenny Ve P.</t>
  </si>
  <si>
    <t>ACOBO, Jucinde L.</t>
  </si>
  <si>
    <t>Teller III</t>
  </si>
  <si>
    <t>TACANDONG, Sheila May T.</t>
  </si>
  <si>
    <t>PORAL, Edgar E. Jr.</t>
  </si>
  <si>
    <t>MFU Account Officer II</t>
  </si>
  <si>
    <t xml:space="preserve">GAYLOA, Rodulfo A. Jr. </t>
  </si>
  <si>
    <t>CADELIÑA, Rico E.</t>
  </si>
  <si>
    <t>Manager II, Head-CDO Branch</t>
  </si>
  <si>
    <t>SARAUS, Kathy E.</t>
  </si>
  <si>
    <t>DAHILOG, Brian M.</t>
  </si>
  <si>
    <t>MANSEGUIAO, Micheluo B.</t>
  </si>
  <si>
    <t>CAIÑA, Claire Mary L.</t>
  </si>
  <si>
    <t>ASENTISTA, Aisa Jane C.</t>
  </si>
  <si>
    <t>MAHUSAY, Roxan T.</t>
  </si>
  <si>
    <t>BASUBAS, Cirane C.</t>
  </si>
  <si>
    <t>O/L Supervisor</t>
  </si>
  <si>
    <t>SARAUS, Jezzrel P.</t>
  </si>
  <si>
    <t xml:space="preserve">Account Officer I </t>
  </si>
  <si>
    <t>Office Assistant (CDO-BLU)</t>
  </si>
  <si>
    <t>AO-OL (Iligan-BLU)</t>
  </si>
  <si>
    <t>OÑEZ, Arniel H.</t>
  </si>
  <si>
    <t>Manager I, Head-Maramag Branch</t>
  </si>
  <si>
    <t>BAJAO, Edward G.</t>
  </si>
  <si>
    <t>LAO, Lester Terex  M.</t>
  </si>
  <si>
    <t>Tiberio, Arjean.</t>
  </si>
  <si>
    <t>PAMAYLAON, Jessavyl M.</t>
  </si>
  <si>
    <t xml:space="preserve"> Accounting Clerk I</t>
  </si>
  <si>
    <t>Office Associate</t>
  </si>
  <si>
    <t>TUGADE, Emelia V.</t>
  </si>
  <si>
    <t>TABAMO, Josephine C.</t>
  </si>
  <si>
    <t>OCANG, Luta A.</t>
  </si>
  <si>
    <t>Windows OS Servers</t>
  </si>
  <si>
    <t>Office Name</t>
  </si>
  <si>
    <t>Puchased/Licensed Date</t>
  </si>
  <si>
    <t xml:space="preserve">Authorization Number </t>
  </si>
  <si>
    <t>Vendor</t>
  </si>
  <si>
    <t>Microsoft Windows Server CAL 2008 Single OPEN 1 Licensed No Level Device</t>
  </si>
  <si>
    <t>R18 - 02729</t>
  </si>
  <si>
    <t>Dataworld Computer Center</t>
  </si>
  <si>
    <t>Microsoft Windows Server Standard 2008 R2 Single OPEN 1 Licensed No Level</t>
  </si>
  <si>
    <t>P73 - 04982</t>
  </si>
  <si>
    <t>2008 R</t>
  </si>
  <si>
    <t>Microsoft Windows Server STDCORE 2016 Single OLP 2 Licenses No Level CoreLic</t>
  </si>
  <si>
    <t>Windows Professional 10 OLP NL Legalization GG</t>
  </si>
  <si>
    <t>FQC - 09478</t>
  </si>
  <si>
    <t>Microsoft Windows Professional 7 Single OPEN 1 License NO Level Legalization GG</t>
  </si>
  <si>
    <t>FQC - 02872</t>
  </si>
  <si>
    <t>MS Office Home &amp; Business 2016 32bit/65bit License</t>
  </si>
  <si>
    <t>N/A</t>
  </si>
  <si>
    <t>99994-550,897,203,893,896</t>
  </si>
  <si>
    <t>Microtrade GCM Corporation</t>
  </si>
  <si>
    <t>Microsoft Office 2010 Single OPEN 1 Licensed No level</t>
  </si>
  <si>
    <t>021 - 09707</t>
  </si>
  <si>
    <t>BULAWAN, Jeprey C.</t>
  </si>
  <si>
    <t>Account Officer I (former NACPC)</t>
  </si>
  <si>
    <t>DAEL, Christine Julie Jane N.</t>
  </si>
  <si>
    <t>PURCHASED OS AND MS OFFICE LICENSES</t>
  </si>
  <si>
    <t>MS OFFICE  2016</t>
  </si>
  <si>
    <t>MS OFFICE  STD 2010</t>
  </si>
  <si>
    <t>MICROSOFT OFFICE LICENSES</t>
  </si>
  <si>
    <t>OS LICENSES</t>
  </si>
  <si>
    <t>SECTION</t>
  </si>
  <si>
    <t>HR</t>
  </si>
  <si>
    <t>MIS</t>
  </si>
  <si>
    <t>Audit</t>
  </si>
  <si>
    <t>MFU</t>
  </si>
  <si>
    <t>Compliance</t>
  </si>
  <si>
    <t>SME</t>
  </si>
  <si>
    <t>Accounting</t>
  </si>
  <si>
    <t>Asset</t>
  </si>
  <si>
    <t>Cash</t>
  </si>
  <si>
    <t>Loans</t>
  </si>
  <si>
    <t>Manager</t>
  </si>
  <si>
    <t>CASH MAIN</t>
  </si>
  <si>
    <t>WIN 7</t>
  </si>
  <si>
    <t>WIN 10</t>
  </si>
  <si>
    <t>BLU GINGOOG</t>
  </si>
  <si>
    <t>BLU CAMIGUIN</t>
  </si>
  <si>
    <t>LICENSE CONFIRMATION</t>
  </si>
  <si>
    <t>WINDOWS CLIENT</t>
  </si>
  <si>
    <t>WINDOWS SERVER</t>
  </si>
  <si>
    <t>MICROSOFT OFFICE</t>
  </si>
  <si>
    <t>LAPTOPS WITH FREE OEM LIMITED OS UPON LICENSE</t>
  </si>
  <si>
    <t>LAPTOP WITHOUT LICENSE UPON PURCHASE</t>
  </si>
  <si>
    <t>Laptops</t>
  </si>
  <si>
    <t>TOTAL NUMBER OF COMPUTERS WITH LICENSE</t>
  </si>
  <si>
    <t>s</t>
  </si>
  <si>
    <t>As of January 2023</t>
  </si>
  <si>
    <t>MIS Assistant #1</t>
  </si>
  <si>
    <t>MIS Assistant #2</t>
  </si>
  <si>
    <t>MIS Assistant #3</t>
  </si>
  <si>
    <t>QUIDET, Deserie Imy C.</t>
  </si>
  <si>
    <t>MAPUTOL, Augustin C.</t>
  </si>
  <si>
    <t>FERNANDEZ, Clint A.</t>
  </si>
  <si>
    <t>BUTUAN BLU</t>
  </si>
  <si>
    <t>Acting BLU HEAD</t>
  </si>
  <si>
    <t>MACARAYO, Clark</t>
  </si>
  <si>
    <t>Loans Bookkeeper / Accounting</t>
  </si>
  <si>
    <t>Loans Processor</t>
  </si>
  <si>
    <t>Account Officer</t>
  </si>
  <si>
    <t>SUMAGANG, Junmar</t>
  </si>
  <si>
    <t>NAMOC, Angel Mae</t>
  </si>
  <si>
    <t>BORRES, Rodolfo Jr. C.</t>
  </si>
  <si>
    <t>Loan Supervisor I / BLU Head</t>
  </si>
  <si>
    <t>Loan Officer, Branch Lite Head</t>
  </si>
  <si>
    <t>Customer Associate</t>
  </si>
  <si>
    <t>TIMOTEO, Lester Mae C.</t>
  </si>
  <si>
    <t>MOSTACISA, Jeanny B.</t>
  </si>
  <si>
    <t>JINAYON,Larry Mar D.</t>
  </si>
  <si>
    <t>PADILLA, Leo T.</t>
  </si>
  <si>
    <t>Auditor I #3</t>
  </si>
  <si>
    <t>Auditor II #1</t>
  </si>
  <si>
    <t>Auditor II #2</t>
  </si>
  <si>
    <t>LESPANA, Remark I</t>
  </si>
  <si>
    <t>AGBU, Marie Bernadeth E.</t>
  </si>
  <si>
    <t>MAGDALE,Janeth L.</t>
  </si>
  <si>
    <t>VALIENTE, Regidor A.</t>
  </si>
  <si>
    <t>GABALES, Christian L.</t>
  </si>
  <si>
    <t>CABUNILAS, Julie Ann A.</t>
  </si>
  <si>
    <t>Loan Supervisor</t>
  </si>
  <si>
    <t>BANHAW, Jeniffer L.</t>
  </si>
  <si>
    <t>CAsh</t>
  </si>
  <si>
    <t>BLU BUTUAN</t>
  </si>
  <si>
    <t>CABUSOG, Karen Mae M.</t>
  </si>
  <si>
    <t>Windows 11 Home</t>
  </si>
  <si>
    <t>ABARRIENTOS, Chiarazol</t>
  </si>
  <si>
    <t>Loan Processor #1</t>
  </si>
  <si>
    <t>Loan Processor #2</t>
  </si>
  <si>
    <t xml:space="preserve">Win 10 </t>
  </si>
  <si>
    <t>Win 7 Pro GGWA 32bit</t>
  </si>
  <si>
    <t>Windows 10 Pro 64bit</t>
  </si>
  <si>
    <t>Windows 11 Home 64bit</t>
  </si>
  <si>
    <t>Windows 7 Home 32bit</t>
  </si>
  <si>
    <t>Win 11 Pro 64bit</t>
  </si>
  <si>
    <t>EBARLE, Lia</t>
  </si>
  <si>
    <t>GABRIEL, Jomar E.</t>
  </si>
  <si>
    <t>Win 10 Pro OEM 64bit</t>
  </si>
  <si>
    <t>Win 10 Pro 64bit</t>
  </si>
  <si>
    <t>Win 11Pro OEM 64bit</t>
  </si>
  <si>
    <t>KIBAWE BLU</t>
  </si>
  <si>
    <t>Win 11 Pro</t>
  </si>
  <si>
    <t>Windows 11</t>
  </si>
  <si>
    <t>SALUNA, Joel</t>
  </si>
  <si>
    <t>BDO</t>
  </si>
  <si>
    <t>Business Development Officer</t>
  </si>
  <si>
    <t>Windows GGWA - Windows 11 Pro - Legalization Get Genuine - Commercial</t>
  </si>
  <si>
    <t>YES</t>
  </si>
  <si>
    <t>LICENSED</t>
  </si>
  <si>
    <t>Home</t>
  </si>
  <si>
    <t>DG7GMGF0L4TL</t>
  </si>
  <si>
    <t>AM II, Head-MIS Section</t>
  </si>
  <si>
    <t xml:space="preserve">AM II, Junior Accountant </t>
  </si>
  <si>
    <t>AVP, Head-Compliance</t>
  </si>
  <si>
    <t>TAYTAY, Daryl Kay</t>
  </si>
  <si>
    <t>Compliance Specialist III</t>
  </si>
  <si>
    <t>ABELO, Bryan</t>
  </si>
  <si>
    <t>Ultimate / Starter</t>
  </si>
  <si>
    <t>SME Account Assistant</t>
  </si>
  <si>
    <t>HR Associate II</t>
  </si>
  <si>
    <t>MS OFFICE LTSC 2024</t>
  </si>
  <si>
    <t>MS OFFICE LTSC 2021</t>
  </si>
  <si>
    <t>RIVERA, Nicolle Socorro A.</t>
  </si>
  <si>
    <t>Loan Processor II</t>
  </si>
  <si>
    <t>Cashier II</t>
  </si>
  <si>
    <t>MERCADO, Rachel V.</t>
  </si>
  <si>
    <t>Teller II</t>
  </si>
  <si>
    <t>POLINAR, Christine Jean B.</t>
  </si>
  <si>
    <t>MABAYLAN, Shaira E.</t>
  </si>
  <si>
    <t>OCOT, Junrick J.</t>
  </si>
  <si>
    <t>QUIETA, Rizza.</t>
  </si>
  <si>
    <t>Loan Supervisor II</t>
  </si>
  <si>
    <t>LAMAYON, Unity C.</t>
  </si>
  <si>
    <t>ALIDO, Alleah B.</t>
  </si>
  <si>
    <t>JASAAN OFFICE</t>
  </si>
  <si>
    <t>SALAY OFFICE</t>
  </si>
  <si>
    <t>CDO OFFICE</t>
  </si>
  <si>
    <t>MARAMAG OFFICE</t>
  </si>
  <si>
    <t>GINGOOG OFFICE</t>
  </si>
  <si>
    <t>CAMIGUIN OFFICE</t>
  </si>
  <si>
    <t>BUTUAN OFFICE</t>
  </si>
  <si>
    <t>KIBAWE OFFICE</t>
  </si>
  <si>
    <t>OP</t>
  </si>
  <si>
    <t>Administrative Assistant #2</t>
  </si>
  <si>
    <t>Some Windows 10 Pro  (Desktop) were migrated from windows 7 GGWA</t>
  </si>
  <si>
    <t>BUCAG, Pio</t>
  </si>
  <si>
    <t xml:space="preserve">Account Officer </t>
  </si>
  <si>
    <t>Pomada, Boyet</t>
  </si>
  <si>
    <t>Teller #1</t>
  </si>
  <si>
    <t>Teller  #2</t>
  </si>
  <si>
    <t xml:space="preserve">Windows 10 Pro </t>
  </si>
  <si>
    <t>BERNALES,Maribel</t>
  </si>
  <si>
    <t>VILLADORES, Cristy J.</t>
  </si>
  <si>
    <t>DUMAGSA, Emalyn</t>
  </si>
  <si>
    <t>RATILLA, Jobelle Q</t>
  </si>
  <si>
    <t>CONDEZA, Miguel M.</t>
  </si>
  <si>
    <t>ARCANSIS, Zyrabelle A.</t>
  </si>
  <si>
    <t>OYAN, Michelle M.</t>
  </si>
  <si>
    <t>HONREJAS, Princess Jane A.</t>
  </si>
  <si>
    <t>GALDIANO, Georly Mae</t>
  </si>
  <si>
    <t xml:space="preserve">Windows 7 Pro </t>
  </si>
  <si>
    <t>MS OFFICE VERSION</t>
  </si>
  <si>
    <t>MS Office 2021</t>
  </si>
  <si>
    <t>MS Office 2024</t>
  </si>
  <si>
    <t>SPARE</t>
  </si>
  <si>
    <t>LACIA, Melvi Jane R.</t>
  </si>
  <si>
    <t>Loan Processor- Trainee</t>
  </si>
  <si>
    <t>Account Officer- Trainee</t>
  </si>
  <si>
    <t>Mac OS</t>
  </si>
  <si>
    <t>MS Office 365</t>
  </si>
  <si>
    <t>Win 11 Pro OEM</t>
  </si>
  <si>
    <t>Windows 11 Pro</t>
  </si>
  <si>
    <t>OPEN OFFICE/LIBREOFFICE</t>
  </si>
  <si>
    <t>PACLAR, Pepper A.</t>
  </si>
  <si>
    <t>As of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</si>
</sst>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9" xfId="0" applyBorder="1"/>
    <xf numFmtId="0" fontId="7" fillId="0" borderId="0" xfId="0" applyFont="1"/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7" fillId="0" borderId="4" xfId="0" applyFont="1" applyBorder="1"/>
    <xf numFmtId="0" fontId="7" fillId="0" borderId="3" xfId="0" applyFont="1" applyBorder="1" applyAlignment="1">
      <alignment horizontal="center" vertical="center"/>
    </xf>
    <xf numFmtId="0" fontId="3" fillId="2" borderId="2" xfId="0" applyFont="1" applyFill="1" applyBorder="1"/>
    <xf numFmtId="0" fontId="3" fillId="2" borderId="4" xfId="0" applyFont="1" applyFill="1" applyBorder="1"/>
    <xf numFmtId="0" fontId="3" fillId="2" borderId="3" xfId="0" applyFont="1" applyFill="1" applyBorder="1"/>
    <xf numFmtId="0" fontId="3" fillId="0" borderId="6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4" fontId="7" fillId="0" borderId="12" xfId="0" applyNumberFormat="1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3" fillId="0" borderId="10" xfId="0" applyFont="1" applyBorder="1"/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quotePrefix="1" applyAlignment="1">
      <alignment horizontal="center"/>
    </xf>
    <xf numFmtId="0" fontId="9" fillId="0" borderId="0" xfId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view="pageBreakPreview" zoomScale="115" zoomScaleNormal="85" zoomScaleSheetLayoutView="115" workbookViewId="0">
      <selection activeCell="F41" sqref="F41"/>
    </sheetView>
  </sheetViews>
  <sheetFormatPr defaultColWidth="9.28515625" defaultRowHeight="15" x14ac:dyDescent="0.25"/>
  <cols>
    <col min="1" max="1" width="59.7109375" style="18" bestFit="1" customWidth="1"/>
    <col min="2" max="2" width="25.28515625" style="15" bestFit="1" customWidth="1"/>
    <col min="3" max="5" width="25.28515625" style="15" customWidth="1"/>
    <col min="6" max="6" width="27.42578125" style="15" bestFit="1" customWidth="1"/>
    <col min="7" max="7" width="14.28515625" style="15" customWidth="1"/>
    <col min="8" max="8" width="32" style="15" bestFit="1" customWidth="1"/>
    <col min="9" max="9" width="13.28515625" style="15" bestFit="1" customWidth="1"/>
    <col min="10" max="16384" width="9.28515625" style="15"/>
  </cols>
  <sheetData>
    <row r="2" spans="1:9" x14ac:dyDescent="0.25">
      <c r="A2" s="95" t="s">
        <v>248</v>
      </c>
      <c r="B2" s="95"/>
      <c r="C2" s="95"/>
      <c r="D2" s="95"/>
      <c r="E2" s="95"/>
      <c r="F2" s="95"/>
      <c r="G2" s="95"/>
      <c r="H2" s="95"/>
      <c r="I2" s="95"/>
    </row>
    <row r="3" spans="1:9" x14ac:dyDescent="0.25">
      <c r="A3" s="95"/>
      <c r="B3" s="95"/>
      <c r="C3" s="95"/>
      <c r="D3" s="95"/>
      <c r="E3" s="95"/>
      <c r="F3" s="95"/>
      <c r="G3" s="95"/>
      <c r="H3" s="95"/>
      <c r="I3" s="95"/>
    </row>
    <row r="5" spans="1:9" ht="15.75" x14ac:dyDescent="0.25">
      <c r="A5" s="94" t="s">
        <v>223</v>
      </c>
      <c r="B5" s="94"/>
      <c r="C5" s="94"/>
      <c r="D5" s="94"/>
      <c r="E5" s="94"/>
      <c r="F5" s="94"/>
      <c r="G5" s="94"/>
      <c r="H5" s="94"/>
      <c r="I5" s="94"/>
    </row>
    <row r="6" spans="1:9" ht="30" x14ac:dyDescent="0.25">
      <c r="A6" s="34" t="s">
        <v>224</v>
      </c>
      <c r="B6" s="35" t="s">
        <v>225</v>
      </c>
      <c r="C6" s="35" t="s">
        <v>226</v>
      </c>
      <c r="D6" s="19" t="s">
        <v>64</v>
      </c>
      <c r="E6" s="19" t="s">
        <v>65</v>
      </c>
      <c r="F6" s="35" t="s">
        <v>52</v>
      </c>
      <c r="G6" s="35" t="s">
        <v>55</v>
      </c>
      <c r="H6" s="35" t="s">
        <v>227</v>
      </c>
      <c r="I6" s="35" t="s">
        <v>47</v>
      </c>
    </row>
    <row r="7" spans="1:9" ht="31.5" x14ac:dyDescent="0.25">
      <c r="A7" s="36" t="s">
        <v>228</v>
      </c>
      <c r="B7" s="37">
        <v>40687</v>
      </c>
      <c r="C7" s="20" t="s">
        <v>75</v>
      </c>
      <c r="D7" s="20">
        <v>48539745</v>
      </c>
      <c r="E7" s="22" t="s">
        <v>76</v>
      </c>
      <c r="F7" s="38" t="s">
        <v>229</v>
      </c>
      <c r="G7" s="38">
        <v>2008</v>
      </c>
      <c r="H7" s="38" t="s">
        <v>230</v>
      </c>
      <c r="I7" s="39">
        <v>40</v>
      </c>
    </row>
    <row r="8" spans="1:9" ht="31.5" x14ac:dyDescent="0.25">
      <c r="A8" s="36" t="s">
        <v>231</v>
      </c>
      <c r="B8" s="37">
        <v>40687</v>
      </c>
      <c r="C8" s="20" t="s">
        <v>75</v>
      </c>
      <c r="D8" s="20">
        <v>48539745</v>
      </c>
      <c r="E8" s="22" t="s">
        <v>76</v>
      </c>
      <c r="F8" s="38" t="s">
        <v>232</v>
      </c>
      <c r="G8" s="38" t="s">
        <v>233</v>
      </c>
      <c r="H8" s="38" t="s">
        <v>230</v>
      </c>
      <c r="I8" s="39">
        <v>4</v>
      </c>
    </row>
    <row r="9" spans="1:9" ht="31.5" x14ac:dyDescent="0.25">
      <c r="A9" s="36" t="s">
        <v>234</v>
      </c>
      <c r="B9" s="37">
        <v>42818</v>
      </c>
      <c r="C9" s="20" t="s">
        <v>68</v>
      </c>
      <c r="D9" s="20">
        <v>68213266</v>
      </c>
      <c r="E9" s="20">
        <v>100103668</v>
      </c>
      <c r="F9" s="37" t="s">
        <v>61</v>
      </c>
      <c r="G9" s="38">
        <v>2016</v>
      </c>
      <c r="H9" s="38" t="s">
        <v>230</v>
      </c>
      <c r="I9" s="39">
        <v>8</v>
      </c>
    </row>
    <row r="10" spans="1:9" ht="15.75" x14ac:dyDescent="0.25">
      <c r="A10" s="94" t="s">
        <v>45</v>
      </c>
      <c r="B10" s="94"/>
      <c r="C10" s="94"/>
      <c r="D10" s="94"/>
      <c r="E10" s="94"/>
      <c r="F10" s="94"/>
      <c r="G10" s="94"/>
      <c r="H10" s="94"/>
      <c r="I10" s="35">
        <f>SUM(I7:I9)</f>
        <v>52</v>
      </c>
    </row>
    <row r="11" spans="1:9" ht="15.75" x14ac:dyDescent="0.25">
      <c r="A11" s="40"/>
      <c r="B11" s="41"/>
      <c r="C11" s="41"/>
      <c r="D11" s="41"/>
      <c r="E11" s="41"/>
      <c r="F11" s="41"/>
      <c r="G11" s="41"/>
      <c r="H11" s="41"/>
      <c r="I11" s="41"/>
    </row>
    <row r="12" spans="1:9" ht="15.75" x14ac:dyDescent="0.25">
      <c r="A12" s="94" t="s">
        <v>252</v>
      </c>
      <c r="B12" s="94"/>
      <c r="C12" s="94"/>
      <c r="D12" s="94"/>
      <c r="E12" s="94"/>
      <c r="F12" s="94"/>
      <c r="G12" s="94"/>
      <c r="H12" s="94"/>
      <c r="I12" s="94"/>
    </row>
    <row r="13" spans="1:9" ht="30" x14ac:dyDescent="0.25">
      <c r="A13" s="34" t="s">
        <v>224</v>
      </c>
      <c r="B13" s="35" t="s">
        <v>225</v>
      </c>
      <c r="C13" s="35" t="s">
        <v>226</v>
      </c>
      <c r="D13" s="19" t="s">
        <v>64</v>
      </c>
      <c r="E13" s="19" t="s">
        <v>65</v>
      </c>
      <c r="F13" s="35" t="s">
        <v>52</v>
      </c>
      <c r="G13" s="35" t="s">
        <v>55</v>
      </c>
      <c r="H13" s="35" t="s">
        <v>227</v>
      </c>
      <c r="I13" s="35" t="s">
        <v>47</v>
      </c>
    </row>
    <row r="14" spans="1:9" ht="15.75" x14ac:dyDescent="0.25">
      <c r="A14" s="38" t="s">
        <v>235</v>
      </c>
      <c r="B14" s="37">
        <v>42818</v>
      </c>
      <c r="C14" s="20" t="s">
        <v>66</v>
      </c>
      <c r="D14" s="20">
        <v>68213269</v>
      </c>
      <c r="E14" s="20">
        <v>100103667</v>
      </c>
      <c r="F14" s="37" t="s">
        <v>236</v>
      </c>
      <c r="G14" s="38">
        <v>2010</v>
      </c>
      <c r="H14" s="38" t="s">
        <v>230</v>
      </c>
      <c r="I14" s="39">
        <v>24</v>
      </c>
    </row>
    <row r="15" spans="1:9" ht="31.5" x14ac:dyDescent="0.25">
      <c r="A15" s="36" t="s">
        <v>237</v>
      </c>
      <c r="B15" s="37">
        <v>40687</v>
      </c>
      <c r="C15" s="20" t="s">
        <v>71</v>
      </c>
      <c r="D15" s="20">
        <v>48539746</v>
      </c>
      <c r="E15" s="22" t="s">
        <v>72</v>
      </c>
      <c r="F15" s="38" t="s">
        <v>238</v>
      </c>
      <c r="G15" s="38">
        <v>2007</v>
      </c>
      <c r="H15" s="38" t="s">
        <v>230</v>
      </c>
      <c r="I15" s="39">
        <v>60</v>
      </c>
    </row>
    <row r="16" spans="1:9" ht="15.75" x14ac:dyDescent="0.25">
      <c r="A16" s="36" t="s">
        <v>235</v>
      </c>
      <c r="B16" s="37">
        <v>43475</v>
      </c>
      <c r="C16" s="20" t="s">
        <v>66</v>
      </c>
      <c r="D16" s="20">
        <v>87482054</v>
      </c>
      <c r="E16" s="20" t="s">
        <v>67</v>
      </c>
      <c r="F16" s="37" t="s">
        <v>236</v>
      </c>
      <c r="G16" s="38">
        <v>2010</v>
      </c>
      <c r="H16" s="38" t="s">
        <v>230</v>
      </c>
      <c r="I16" s="39">
        <v>4</v>
      </c>
    </row>
    <row r="17" spans="1:9" ht="31.5" x14ac:dyDescent="0.25">
      <c r="A17" s="36" t="s">
        <v>337</v>
      </c>
      <c r="B17" s="37">
        <v>45559</v>
      </c>
      <c r="C17" s="20"/>
      <c r="D17" s="20"/>
      <c r="E17" s="20">
        <v>20007990</v>
      </c>
      <c r="F17" s="37" t="s">
        <v>341</v>
      </c>
      <c r="G17" s="38">
        <v>2011</v>
      </c>
      <c r="H17" s="38" t="s">
        <v>230</v>
      </c>
      <c r="I17" s="39">
        <v>5</v>
      </c>
    </row>
    <row r="18" spans="1:9" ht="15.75" x14ac:dyDescent="0.25">
      <c r="A18" s="94" t="s">
        <v>45</v>
      </c>
      <c r="B18" s="94"/>
      <c r="C18" s="94"/>
      <c r="D18" s="94"/>
      <c r="E18" s="94"/>
      <c r="F18" s="94"/>
      <c r="G18" s="94"/>
      <c r="H18" s="94"/>
      <c r="I18" s="35">
        <f>SUM(I14:I17)</f>
        <v>93</v>
      </c>
    </row>
    <row r="19" spans="1:9" ht="15.75" x14ac:dyDescent="0.25">
      <c r="A19" s="40"/>
      <c r="B19" s="41"/>
      <c r="C19" s="41"/>
      <c r="D19" s="41"/>
      <c r="E19" s="41"/>
      <c r="F19" s="41"/>
      <c r="G19" s="41"/>
      <c r="H19" s="41"/>
      <c r="I19" s="41"/>
    </row>
    <row r="20" spans="1:9" ht="15.75" x14ac:dyDescent="0.25">
      <c r="A20" s="94" t="s">
        <v>251</v>
      </c>
      <c r="B20" s="94"/>
      <c r="C20" s="94"/>
      <c r="D20" s="94"/>
      <c r="E20" s="94"/>
      <c r="F20" s="94"/>
      <c r="G20" s="94"/>
      <c r="H20" s="94"/>
      <c r="I20" s="94"/>
    </row>
    <row r="21" spans="1:9" ht="30" x14ac:dyDescent="0.25">
      <c r="A21" s="34" t="s">
        <v>224</v>
      </c>
      <c r="B21" s="35" t="s">
        <v>225</v>
      </c>
      <c r="C21" s="35" t="s">
        <v>226</v>
      </c>
      <c r="D21" s="19" t="s">
        <v>64</v>
      </c>
      <c r="E21" s="19" t="s">
        <v>65</v>
      </c>
      <c r="F21" s="35" t="s">
        <v>52</v>
      </c>
      <c r="G21" s="35" t="s">
        <v>55</v>
      </c>
      <c r="H21" s="35" t="s">
        <v>227</v>
      </c>
      <c r="I21" s="35" t="s">
        <v>47</v>
      </c>
    </row>
    <row r="22" spans="1:9" ht="15.75" x14ac:dyDescent="0.25">
      <c r="A22" s="38" t="s">
        <v>239</v>
      </c>
      <c r="B22" s="37">
        <v>43696</v>
      </c>
      <c r="C22" s="37" t="s">
        <v>240</v>
      </c>
      <c r="D22" s="20" t="s">
        <v>240</v>
      </c>
      <c r="E22" s="20">
        <v>56176</v>
      </c>
      <c r="F22" s="37" t="s">
        <v>241</v>
      </c>
      <c r="G22" s="38">
        <v>2016</v>
      </c>
      <c r="H22" s="38" t="s">
        <v>242</v>
      </c>
      <c r="I22" s="39">
        <v>5</v>
      </c>
    </row>
    <row r="23" spans="1:9" ht="15.75" x14ac:dyDescent="0.25">
      <c r="A23" s="38" t="s">
        <v>243</v>
      </c>
      <c r="B23" s="37">
        <v>40687</v>
      </c>
      <c r="C23" s="20" t="s">
        <v>75</v>
      </c>
      <c r="D23" s="20">
        <v>48539745</v>
      </c>
      <c r="E23" s="22" t="s">
        <v>76</v>
      </c>
      <c r="F23" s="38" t="s">
        <v>244</v>
      </c>
      <c r="G23" s="38">
        <v>2010</v>
      </c>
      <c r="H23" s="38" t="s">
        <v>230</v>
      </c>
      <c r="I23" s="39">
        <v>25</v>
      </c>
    </row>
    <row r="24" spans="1:9" ht="15.75" x14ac:dyDescent="0.25">
      <c r="A24" s="94" t="s">
        <v>45</v>
      </c>
      <c r="B24" s="94"/>
      <c r="C24" s="94"/>
      <c r="D24" s="94"/>
      <c r="E24" s="94"/>
      <c r="F24" s="94"/>
      <c r="G24" s="94"/>
      <c r="H24" s="94"/>
      <c r="I24" s="35">
        <f>SUM(I22:I23)</f>
        <v>30</v>
      </c>
    </row>
    <row r="29" spans="1:9" x14ac:dyDescent="0.25">
      <c r="A29" s="93"/>
    </row>
    <row r="33" spans="1:2" x14ac:dyDescent="0.25">
      <c r="A33" s="18">
        <f>SUM('Head Office'!D52:E52,'Main Office'!D42:E42,'Jasaan Branch'!D45:E45,'Salay Branch'!D39:E39,'CDO Branch'!D45:E45,'Maramag Branch'!D38:E38,'Gingoog BL'!D33:E33,'Camiguin BL'!D32:E32,'Butuan BL'!D32:E32,'Kibawe BL'!D27:E27)</f>
        <v>109</v>
      </c>
      <c r="B33" s="15">
        <f>SUM(I10,I18,I24)</f>
        <v>175</v>
      </c>
    </row>
  </sheetData>
  <mergeCells count="7">
    <mergeCell ref="A24:H24"/>
    <mergeCell ref="A2:I3"/>
    <mergeCell ref="A5:I5"/>
    <mergeCell ref="A10:H10"/>
    <mergeCell ref="A12:I12"/>
    <mergeCell ref="A18:H18"/>
    <mergeCell ref="A20:I20"/>
  </mergeCells>
  <pageMargins left="0.25" right="0.25" top="0.75" bottom="0.75" header="0.3" footer="0.3"/>
  <pageSetup scale="54" fitToHeight="0" orientation="landscape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2"/>
  <sheetViews>
    <sheetView view="pageBreakPreview" zoomScale="115" zoomScaleNormal="70" zoomScaleSheetLayoutView="115" workbookViewId="0">
      <selection activeCell="B5" sqref="B5"/>
    </sheetView>
  </sheetViews>
  <sheetFormatPr defaultRowHeight="15" x14ac:dyDescent="0.25"/>
  <cols>
    <col min="1" max="1" width="2.7109375" customWidth="1"/>
    <col min="2" max="2" width="7.5703125" customWidth="1"/>
    <col min="3" max="3" width="32.7109375" customWidth="1"/>
    <col min="4" max="4" width="29.28515625" bestFit="1" customWidth="1"/>
    <col min="5" max="5" width="17.5703125" style="1" customWidth="1"/>
    <col min="6" max="6" width="31.7109375" style="1" customWidth="1"/>
    <col min="7" max="7" width="13.85546875" style="1" bestFit="1" customWidth="1"/>
    <col min="8" max="8" width="26" customWidth="1"/>
    <col min="9" max="9" width="18.7109375" bestFit="1" customWidth="1"/>
    <col min="10" max="10" width="32" customWidth="1"/>
    <col min="11" max="11" width="5.28515625" customWidth="1"/>
    <col min="12" max="12" width="14.285156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  <c r="J2" s="2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  <c r="J3" s="2"/>
    </row>
    <row r="4" spans="2:10" x14ac:dyDescent="0.25">
      <c r="B4" s="98" t="s">
        <v>405</v>
      </c>
      <c r="C4" s="98"/>
      <c r="D4" s="98"/>
      <c r="E4" s="98"/>
      <c r="F4" s="98"/>
      <c r="G4" s="98"/>
      <c r="H4" s="98"/>
      <c r="I4" s="98"/>
      <c r="J4" s="2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  <c r="J5" s="2"/>
    </row>
    <row r="6" spans="2:10" x14ac:dyDescent="0.25">
      <c r="B6" s="98" t="s">
        <v>24</v>
      </c>
      <c r="C6" s="98"/>
      <c r="D6" s="98"/>
      <c r="E6" s="98"/>
      <c r="F6" s="98"/>
      <c r="G6" s="98"/>
      <c r="H6" s="98"/>
      <c r="I6" s="98"/>
      <c r="J6" s="2"/>
    </row>
    <row r="7" spans="2:10" ht="30" customHeight="1" x14ac:dyDescent="0.25">
      <c r="B7" s="43"/>
      <c r="C7" s="42" t="s">
        <v>9</v>
      </c>
      <c r="D7" s="3" t="s">
        <v>10</v>
      </c>
      <c r="E7" s="3" t="s">
        <v>11</v>
      </c>
      <c r="F7" s="3" t="s">
        <v>12</v>
      </c>
      <c r="G7" s="3" t="s">
        <v>339</v>
      </c>
      <c r="H7" s="3" t="s">
        <v>13</v>
      </c>
      <c r="I7" s="3" t="s">
        <v>14</v>
      </c>
      <c r="J7" s="3" t="s">
        <v>253</v>
      </c>
    </row>
    <row r="8" spans="2:10" x14ac:dyDescent="0.25">
      <c r="B8" s="4">
        <v>1</v>
      </c>
      <c r="C8" s="4" t="s">
        <v>131</v>
      </c>
      <c r="D8" s="4" t="s">
        <v>134</v>
      </c>
      <c r="E8" s="8" t="s">
        <v>4</v>
      </c>
      <c r="F8" s="8" t="s">
        <v>399</v>
      </c>
      <c r="G8" s="8" t="s">
        <v>338</v>
      </c>
      <c r="H8" s="5" t="s">
        <v>400</v>
      </c>
      <c r="I8" s="5" t="s">
        <v>16</v>
      </c>
      <c r="J8" s="5" t="s">
        <v>254</v>
      </c>
    </row>
    <row r="9" spans="2:10" x14ac:dyDescent="0.25">
      <c r="B9" s="4">
        <v>2</v>
      </c>
      <c r="C9" s="4" t="s">
        <v>342</v>
      </c>
      <c r="D9" s="4" t="s">
        <v>135</v>
      </c>
      <c r="E9" s="8" t="s">
        <v>4</v>
      </c>
      <c r="F9" s="8" t="s">
        <v>330</v>
      </c>
      <c r="G9" s="8" t="s">
        <v>338</v>
      </c>
      <c r="H9" s="5" t="s">
        <v>31</v>
      </c>
      <c r="I9" s="5" t="s">
        <v>8</v>
      </c>
      <c r="J9" s="5" t="s">
        <v>255</v>
      </c>
    </row>
    <row r="10" spans="2:10" x14ac:dyDescent="0.25">
      <c r="B10" s="4">
        <v>3</v>
      </c>
      <c r="C10" s="4" t="s">
        <v>132</v>
      </c>
      <c r="D10" s="4" t="s">
        <v>136</v>
      </c>
      <c r="E10" s="8" t="s">
        <v>4</v>
      </c>
      <c r="F10" s="8" t="s">
        <v>401</v>
      </c>
      <c r="G10" s="8" t="s">
        <v>338</v>
      </c>
      <c r="H10" s="5" t="s">
        <v>351</v>
      </c>
      <c r="I10" s="5" t="s">
        <v>16</v>
      </c>
      <c r="J10" s="5" t="s">
        <v>256</v>
      </c>
    </row>
    <row r="11" spans="2:10" x14ac:dyDescent="0.25">
      <c r="B11" s="4">
        <v>4</v>
      </c>
      <c r="C11" s="4" t="s">
        <v>133</v>
      </c>
      <c r="D11" s="4" t="s">
        <v>137</v>
      </c>
      <c r="E11" s="8" t="s">
        <v>4</v>
      </c>
      <c r="F11" s="8" t="s">
        <v>328</v>
      </c>
      <c r="G11" s="8" t="s">
        <v>338</v>
      </c>
      <c r="H11" s="5" t="s">
        <v>403</v>
      </c>
      <c r="I11" s="5" t="s">
        <v>16</v>
      </c>
      <c r="J11" s="5" t="s">
        <v>257</v>
      </c>
    </row>
    <row r="12" spans="2:10" x14ac:dyDescent="0.25">
      <c r="B12" s="4">
        <v>5</v>
      </c>
      <c r="C12" s="4" t="s">
        <v>343</v>
      </c>
      <c r="D12" s="4" t="s">
        <v>138</v>
      </c>
      <c r="E12" s="8" t="s">
        <v>4</v>
      </c>
      <c r="F12" s="8" t="s">
        <v>328</v>
      </c>
      <c r="G12" s="8" t="s">
        <v>338</v>
      </c>
      <c r="H12" s="5" t="s">
        <v>403</v>
      </c>
      <c r="I12" s="5" t="s">
        <v>16</v>
      </c>
      <c r="J12" s="5" t="s">
        <v>260</v>
      </c>
    </row>
    <row r="13" spans="2:10" x14ac:dyDescent="0.25">
      <c r="B13" s="4">
        <v>6</v>
      </c>
      <c r="C13" s="4" t="s">
        <v>344</v>
      </c>
      <c r="D13" s="4" t="s">
        <v>139</v>
      </c>
      <c r="E13" s="8" t="s">
        <v>4</v>
      </c>
      <c r="F13" s="8" t="s">
        <v>330</v>
      </c>
      <c r="G13" s="8" t="s">
        <v>338</v>
      </c>
      <c r="H13" s="5" t="s">
        <v>403</v>
      </c>
      <c r="I13" s="5" t="s">
        <v>16</v>
      </c>
      <c r="J13" s="5" t="s">
        <v>258</v>
      </c>
    </row>
    <row r="14" spans="2:10" x14ac:dyDescent="0.25">
      <c r="B14" s="4">
        <v>7</v>
      </c>
      <c r="C14" s="4" t="s">
        <v>141</v>
      </c>
      <c r="D14" s="4" t="s">
        <v>140</v>
      </c>
      <c r="E14" s="8" t="s">
        <v>4</v>
      </c>
      <c r="F14" s="8" t="s">
        <v>330</v>
      </c>
      <c r="G14" s="8" t="s">
        <v>338</v>
      </c>
      <c r="H14" s="5" t="s">
        <v>352</v>
      </c>
      <c r="I14" s="5" t="s">
        <v>16</v>
      </c>
      <c r="J14" s="5" t="s">
        <v>373</v>
      </c>
    </row>
    <row r="15" spans="2:10" x14ac:dyDescent="0.25">
      <c r="B15" s="4">
        <v>8</v>
      </c>
      <c r="C15" s="4" t="s">
        <v>374</v>
      </c>
      <c r="D15" s="4" t="s">
        <v>140</v>
      </c>
      <c r="E15" s="8" t="s">
        <v>4</v>
      </c>
      <c r="F15" s="8" t="s">
        <v>328</v>
      </c>
      <c r="G15" s="8" t="s">
        <v>338</v>
      </c>
      <c r="H15" s="5" t="s">
        <v>31</v>
      </c>
      <c r="I15" s="5" t="s">
        <v>16</v>
      </c>
      <c r="J15" s="5" t="s">
        <v>373</v>
      </c>
    </row>
    <row r="16" spans="2:10" x14ac:dyDescent="0.25">
      <c r="B16" s="4">
        <v>9</v>
      </c>
      <c r="C16" s="4" t="s">
        <v>152</v>
      </c>
      <c r="D16" s="4" t="s">
        <v>326</v>
      </c>
      <c r="E16" s="8" t="s">
        <v>3</v>
      </c>
      <c r="F16" s="8" t="s">
        <v>329</v>
      </c>
      <c r="G16" s="8" t="s">
        <v>338</v>
      </c>
      <c r="H16" s="5" t="s">
        <v>403</v>
      </c>
      <c r="I16" s="5" t="s">
        <v>16</v>
      </c>
      <c r="J16" s="5" t="s">
        <v>259</v>
      </c>
    </row>
    <row r="17" spans="2:10" x14ac:dyDescent="0.25">
      <c r="B17" s="4">
        <v>10</v>
      </c>
      <c r="C17" s="4" t="s">
        <v>349</v>
      </c>
      <c r="D17" s="4" t="s">
        <v>327</v>
      </c>
      <c r="E17" s="8" t="s">
        <v>4</v>
      </c>
      <c r="F17" s="8" t="s">
        <v>328</v>
      </c>
      <c r="G17" s="8" t="s">
        <v>338</v>
      </c>
      <c r="H17" s="5" t="s">
        <v>403</v>
      </c>
      <c r="I17" s="5" t="s">
        <v>16</v>
      </c>
      <c r="J17" s="5" t="s">
        <v>259</v>
      </c>
    </row>
    <row r="18" spans="2:10" x14ac:dyDescent="0.25">
      <c r="B18" s="4">
        <v>11</v>
      </c>
      <c r="C18" s="4" t="s">
        <v>349</v>
      </c>
      <c r="D18" s="4" t="s">
        <v>147</v>
      </c>
      <c r="E18" s="8" t="s">
        <v>4</v>
      </c>
      <c r="F18" s="8" t="s">
        <v>330</v>
      </c>
      <c r="G18" s="8" t="s">
        <v>338</v>
      </c>
      <c r="H18" s="5" t="s">
        <v>403</v>
      </c>
      <c r="I18" s="5" t="s">
        <v>16</v>
      </c>
      <c r="J18" s="5" t="s">
        <v>259</v>
      </c>
    </row>
    <row r="19" spans="2:10" x14ac:dyDescent="0.25">
      <c r="B19" s="4">
        <v>12</v>
      </c>
      <c r="C19" s="4" t="s">
        <v>302</v>
      </c>
      <c r="D19" s="4" t="s">
        <v>142</v>
      </c>
      <c r="E19" s="8" t="s">
        <v>4</v>
      </c>
      <c r="F19" s="8" t="s">
        <v>328</v>
      </c>
      <c r="G19" s="8" t="s">
        <v>338</v>
      </c>
      <c r="H19" s="5" t="s">
        <v>403</v>
      </c>
      <c r="I19" s="5" t="s">
        <v>16</v>
      </c>
      <c r="J19" s="5" t="s">
        <v>256</v>
      </c>
    </row>
    <row r="20" spans="2:10" x14ac:dyDescent="0.25">
      <c r="B20" s="4">
        <v>14</v>
      </c>
      <c r="C20" s="4" t="s">
        <v>143</v>
      </c>
      <c r="D20" s="4" t="s">
        <v>144</v>
      </c>
      <c r="E20" s="8" t="s">
        <v>3</v>
      </c>
      <c r="F20" s="8" t="s">
        <v>321</v>
      </c>
      <c r="G20" s="8" t="s">
        <v>338</v>
      </c>
      <c r="H20" s="5" t="s">
        <v>403</v>
      </c>
      <c r="I20" s="5" t="s">
        <v>16</v>
      </c>
      <c r="J20" s="5" t="s">
        <v>254</v>
      </c>
    </row>
    <row r="21" spans="2:10" x14ac:dyDescent="0.25">
      <c r="B21" s="4">
        <v>15</v>
      </c>
      <c r="C21" s="4" t="s">
        <v>152</v>
      </c>
      <c r="D21" s="4" t="s">
        <v>345</v>
      </c>
      <c r="E21" s="8" t="s">
        <v>4</v>
      </c>
      <c r="F21" s="8" t="s">
        <v>329</v>
      </c>
      <c r="G21" s="8" t="s">
        <v>338</v>
      </c>
      <c r="H21" s="5" t="s">
        <v>403</v>
      </c>
      <c r="I21" s="5" t="s">
        <v>16</v>
      </c>
      <c r="J21" s="5" t="s">
        <v>260</v>
      </c>
    </row>
    <row r="22" spans="2:10" x14ac:dyDescent="0.25">
      <c r="B22" s="4">
        <v>16</v>
      </c>
      <c r="C22" s="4" t="s">
        <v>346</v>
      </c>
      <c r="D22" s="4" t="s">
        <v>146</v>
      </c>
      <c r="E22" s="8" t="s">
        <v>3</v>
      </c>
      <c r="F22" s="8" t="s">
        <v>321</v>
      </c>
      <c r="G22" s="8" t="s">
        <v>338</v>
      </c>
      <c r="H22" s="5" t="s">
        <v>403</v>
      </c>
      <c r="I22" s="5" t="s">
        <v>16</v>
      </c>
      <c r="J22" s="5" t="s">
        <v>258</v>
      </c>
    </row>
    <row r="23" spans="2:10" x14ac:dyDescent="0.25">
      <c r="B23" s="4">
        <v>17</v>
      </c>
      <c r="C23" s="4" t="s">
        <v>148</v>
      </c>
      <c r="D23" s="4" t="s">
        <v>147</v>
      </c>
      <c r="E23" s="8" t="s">
        <v>3</v>
      </c>
      <c r="F23" s="8" t="s">
        <v>329</v>
      </c>
      <c r="G23" s="8" t="s">
        <v>338</v>
      </c>
      <c r="H23" s="5" t="s">
        <v>403</v>
      </c>
      <c r="I23" s="5" t="s">
        <v>16</v>
      </c>
      <c r="J23" s="5" t="s">
        <v>261</v>
      </c>
    </row>
    <row r="24" spans="2:10" x14ac:dyDescent="0.25">
      <c r="B24" s="4">
        <v>18</v>
      </c>
      <c r="C24" s="4" t="s">
        <v>303</v>
      </c>
      <c r="D24" s="4" t="s">
        <v>153</v>
      </c>
      <c r="E24" s="8" t="s">
        <v>3</v>
      </c>
      <c r="F24" s="8" t="s">
        <v>329</v>
      </c>
      <c r="G24" s="8" t="s">
        <v>338</v>
      </c>
      <c r="H24" s="5" t="s">
        <v>403</v>
      </c>
      <c r="I24" s="5" t="s">
        <v>16</v>
      </c>
      <c r="J24" s="5" t="s">
        <v>256</v>
      </c>
    </row>
    <row r="25" spans="2:10" x14ac:dyDescent="0.25">
      <c r="B25" s="4">
        <v>19</v>
      </c>
      <c r="C25" s="4" t="s">
        <v>304</v>
      </c>
      <c r="D25" s="4" t="s">
        <v>154</v>
      </c>
      <c r="E25" s="8" t="s">
        <v>3</v>
      </c>
      <c r="F25" s="8" t="s">
        <v>329</v>
      </c>
      <c r="G25" s="8" t="s">
        <v>338</v>
      </c>
      <c r="H25" s="5" t="s">
        <v>403</v>
      </c>
      <c r="I25" s="5" t="s">
        <v>16</v>
      </c>
      <c r="J25" s="5" t="s">
        <v>256</v>
      </c>
    </row>
    <row r="26" spans="2:10" x14ac:dyDescent="0.25">
      <c r="B26" s="4">
        <v>20</v>
      </c>
      <c r="C26" s="4" t="s">
        <v>350</v>
      </c>
      <c r="D26" s="4" t="s">
        <v>149</v>
      </c>
      <c r="E26" s="8" t="s">
        <v>3</v>
      </c>
      <c r="F26" s="8" t="s">
        <v>329</v>
      </c>
      <c r="G26" s="8" t="s">
        <v>338</v>
      </c>
      <c r="H26" s="5" t="s">
        <v>403</v>
      </c>
      <c r="I26" s="5" t="s">
        <v>16</v>
      </c>
      <c r="J26" s="5" t="s">
        <v>254</v>
      </c>
    </row>
    <row r="27" spans="2:10" x14ac:dyDescent="0.25">
      <c r="B27" s="4">
        <v>21</v>
      </c>
      <c r="C27" s="4" t="s">
        <v>280</v>
      </c>
      <c r="D27" s="4" t="s">
        <v>283</v>
      </c>
      <c r="E27" s="8" t="s">
        <v>3</v>
      </c>
      <c r="F27" s="8" t="s">
        <v>332</v>
      </c>
      <c r="G27" s="8" t="s">
        <v>338</v>
      </c>
      <c r="H27" s="5" t="s">
        <v>403</v>
      </c>
      <c r="I27" s="5" t="s">
        <v>16</v>
      </c>
      <c r="J27" s="5" t="s">
        <v>255</v>
      </c>
    </row>
    <row r="28" spans="2:10" x14ac:dyDescent="0.25">
      <c r="B28" s="4">
        <v>22</v>
      </c>
      <c r="C28" s="4" t="s">
        <v>281</v>
      </c>
      <c r="D28" s="4" t="s">
        <v>284</v>
      </c>
      <c r="E28" s="8" t="s">
        <v>3</v>
      </c>
      <c r="F28" s="8" t="s">
        <v>332</v>
      </c>
      <c r="G28" s="8" t="s">
        <v>338</v>
      </c>
      <c r="H28" s="5" t="s">
        <v>403</v>
      </c>
      <c r="I28" s="5" t="s">
        <v>16</v>
      </c>
      <c r="J28" s="5" t="s">
        <v>255</v>
      </c>
    </row>
    <row r="29" spans="2:10" x14ac:dyDescent="0.25">
      <c r="B29" s="4">
        <v>23</v>
      </c>
      <c r="C29" s="4" t="s">
        <v>282</v>
      </c>
      <c r="D29" s="4" t="s">
        <v>347</v>
      </c>
      <c r="E29" s="8" t="s">
        <v>3</v>
      </c>
      <c r="F29" s="8" t="s">
        <v>329</v>
      </c>
      <c r="G29" s="8" t="s">
        <v>338</v>
      </c>
      <c r="H29" s="5" t="s">
        <v>31</v>
      </c>
      <c r="I29" s="5" t="s">
        <v>16</v>
      </c>
      <c r="J29" s="5" t="s">
        <v>255</v>
      </c>
    </row>
    <row r="30" spans="2:10" x14ac:dyDescent="0.25">
      <c r="B30" s="4">
        <v>24</v>
      </c>
      <c r="C30" s="4" t="s">
        <v>150</v>
      </c>
      <c r="D30" s="4" t="s">
        <v>285</v>
      </c>
      <c r="E30" s="8" t="s">
        <v>3</v>
      </c>
      <c r="F30" s="8" t="s">
        <v>321</v>
      </c>
      <c r="G30" s="8" t="s">
        <v>338</v>
      </c>
      <c r="H30" s="5" t="s">
        <v>403</v>
      </c>
      <c r="I30" s="5" t="s">
        <v>16</v>
      </c>
      <c r="J30" s="5" t="s">
        <v>261</v>
      </c>
    </row>
    <row r="31" spans="2:10" x14ac:dyDescent="0.25">
      <c r="B31" s="4">
        <v>25</v>
      </c>
      <c r="C31" s="4" t="s">
        <v>145</v>
      </c>
      <c r="D31" s="4" t="s">
        <v>151</v>
      </c>
      <c r="E31" s="8" t="s">
        <v>3</v>
      </c>
      <c r="F31" s="8" t="s">
        <v>329</v>
      </c>
      <c r="G31" s="8" t="s">
        <v>338</v>
      </c>
      <c r="H31" s="5" t="s">
        <v>403</v>
      </c>
      <c r="I31" s="5" t="s">
        <v>16</v>
      </c>
      <c r="J31" s="5" t="s">
        <v>258</v>
      </c>
    </row>
    <row r="32" spans="2:10" x14ac:dyDescent="0.25">
      <c r="B32" s="4">
        <v>26</v>
      </c>
      <c r="C32" s="4" t="s">
        <v>336</v>
      </c>
      <c r="D32" s="4" t="s">
        <v>334</v>
      </c>
      <c r="E32" s="8" t="s">
        <v>4</v>
      </c>
      <c r="F32" s="8" t="s">
        <v>401</v>
      </c>
      <c r="G32" s="8" t="s">
        <v>338</v>
      </c>
      <c r="H32" s="5" t="s">
        <v>351</v>
      </c>
      <c r="I32" s="5" t="s">
        <v>16</v>
      </c>
      <c r="J32" s="5" t="s">
        <v>335</v>
      </c>
    </row>
    <row r="34" spans="3:10" x14ac:dyDescent="0.25">
      <c r="C34" s="3" t="s">
        <v>17</v>
      </c>
      <c r="D34" s="3" t="s">
        <v>20</v>
      </c>
      <c r="E34" s="3" t="s">
        <v>21</v>
      </c>
      <c r="F34" s="3" t="s">
        <v>8</v>
      </c>
      <c r="G34" s="2"/>
      <c r="H34" s="102" t="s">
        <v>392</v>
      </c>
      <c r="I34" s="102"/>
    </row>
    <row r="35" spans="3:10" x14ac:dyDescent="0.25">
      <c r="C35" s="4" t="s">
        <v>18</v>
      </c>
      <c r="D35" s="5">
        <f>COUNTIF($G8:$G32,"YES")</f>
        <v>25</v>
      </c>
      <c r="E35" s="5">
        <f>COUNTIFS($H8:$H32,"&lt;&gt;",$H8:$H32,"&lt;&gt;OPEN OFFICE/LIBREOFFICE")</f>
        <v>7</v>
      </c>
      <c r="F35" s="5">
        <f>COUNTIFS($I8:$I32,"CAL")</f>
        <v>1</v>
      </c>
      <c r="G35" s="15"/>
      <c r="H35" s="8" t="s">
        <v>107</v>
      </c>
      <c r="I35" s="8">
        <f>COUNTIF($H8:$H32,"*2010")</f>
        <v>3</v>
      </c>
    </row>
    <row r="36" spans="3:10" x14ac:dyDescent="0.25">
      <c r="C36" s="4" t="s">
        <v>19</v>
      </c>
      <c r="D36" s="5">
        <f>COUNTIF($G8:$G32,"NO")</f>
        <v>0</v>
      </c>
      <c r="E36" s="5">
        <f>COUNTIFS($H8:$H32,"&lt;&gt;",$H8:$H32,"OPEN OFFICE/LIBREOFFICE")</f>
        <v>18</v>
      </c>
      <c r="F36" s="5">
        <f>COUNTIFS($I8:$I32,"NONE")</f>
        <v>0</v>
      </c>
      <c r="G36" s="15"/>
      <c r="H36" s="8" t="s">
        <v>108</v>
      </c>
      <c r="I36" s="8">
        <f>COUNTIF($H8:$H32,"*2016")</f>
        <v>0</v>
      </c>
    </row>
    <row r="37" spans="3:10" x14ac:dyDescent="0.25">
      <c r="E37" s="8" t="s">
        <v>16</v>
      </c>
      <c r="F37" s="8">
        <f>COUNTIF($I8:$I32,"Excluded")</f>
        <v>24</v>
      </c>
      <c r="H37" s="8" t="s">
        <v>393</v>
      </c>
      <c r="I37" s="8">
        <f>COUNTIF($H8:$H32,"*2021")</f>
        <v>1</v>
      </c>
    </row>
    <row r="38" spans="3:10" x14ac:dyDescent="0.25">
      <c r="H38" s="8" t="s">
        <v>394</v>
      </c>
      <c r="I38" s="8">
        <f>COUNTIF($H8:$H32,"*2024")</f>
        <v>2</v>
      </c>
    </row>
    <row r="39" spans="3:10" x14ac:dyDescent="0.25">
      <c r="C39" s="99" t="s">
        <v>39</v>
      </c>
      <c r="D39" s="100"/>
      <c r="E39" s="101"/>
      <c r="F39" s="28"/>
      <c r="G39" s="28"/>
      <c r="H39" s="8" t="s">
        <v>400</v>
      </c>
      <c r="I39" s="8">
        <f>COUNTIF(H8:H32,"*365")</f>
        <v>1</v>
      </c>
    </row>
    <row r="40" spans="3:10" x14ac:dyDescent="0.25">
      <c r="C40" s="4"/>
      <c r="D40" s="3" t="s">
        <v>4</v>
      </c>
      <c r="E40" s="3" t="s">
        <v>98</v>
      </c>
    </row>
    <row r="41" spans="3:10" x14ac:dyDescent="0.25">
      <c r="C41" s="4" t="s">
        <v>333</v>
      </c>
      <c r="D41" s="5"/>
      <c r="E41" s="5"/>
    </row>
    <row r="42" spans="3:10" x14ac:dyDescent="0.25">
      <c r="C42" s="5" t="s">
        <v>340</v>
      </c>
      <c r="D42" s="5">
        <f>COUNTIFS($E8:$E32,"LAPTOP",$F8:$F32,"*11*Home*")</f>
        <v>0</v>
      </c>
      <c r="E42" s="5">
        <f>COUNTIFS($E8:$E32,"DESKTOP",$F8:$F32,"*11*Home*")</f>
        <v>0</v>
      </c>
    </row>
    <row r="43" spans="3:10" x14ac:dyDescent="0.25">
      <c r="C43" s="5" t="s">
        <v>100</v>
      </c>
      <c r="D43" s="5">
        <f>COUNTIFS($E8:$E32,"LAPTOP",$F8:$F32,"*11*PRO*")</f>
        <v>6</v>
      </c>
      <c r="E43" s="5">
        <f>COUNTIFS($E8:$E32,"DESKTOP",$F8:$F32,"*11*PRO*")</f>
        <v>2</v>
      </c>
    </row>
    <row r="44" spans="3:10" x14ac:dyDescent="0.25">
      <c r="C44" s="27" t="s">
        <v>7</v>
      </c>
      <c r="D44" s="8"/>
      <c r="E44" s="8"/>
    </row>
    <row r="45" spans="3:10" x14ac:dyDescent="0.25">
      <c r="C45" s="8" t="s">
        <v>99</v>
      </c>
      <c r="D45" s="8">
        <f>COUNTIFS($E8:$E32,"LAPTOP",$F8:$F32,"*10*OEM*")</f>
        <v>5</v>
      </c>
      <c r="E45" s="8">
        <f>COUNTIFS($E8:$E32,"DESKTOP",$F8:$F32,"*10*OEM*")</f>
        <v>0</v>
      </c>
    </row>
    <row r="46" spans="3:10" x14ac:dyDescent="0.25">
      <c r="C46" s="8" t="s">
        <v>100</v>
      </c>
      <c r="D46" s="8">
        <f>COUNTIFS($E8:$E32,"LAPTOP",$F8:$F32,"*10*",$F8:$F32,"&lt;&gt;*OEM*")</f>
        <v>1</v>
      </c>
      <c r="E46" s="8">
        <f>COUNTIFS($E8:$E32,"DESKTOP",$F8:$F32,"*Win 10*",$F8:$F32,"&lt;&gt;*OEM*")</f>
        <v>7</v>
      </c>
      <c r="H46" s="13"/>
      <c r="I46" s="13"/>
      <c r="J46" s="13"/>
    </row>
    <row r="47" spans="3:10" x14ac:dyDescent="0.25">
      <c r="C47" s="27" t="s">
        <v>6</v>
      </c>
      <c r="D47" s="8">
        <f>COUNTIFS($E8:$E32,"LAPTOP",$F8:$F32,"*8*")</f>
        <v>0</v>
      </c>
      <c r="E47" s="8">
        <f>COUNTIFS($E8:$E32,"DESKTOP",$F8:$F32,"*8*")</f>
        <v>0</v>
      </c>
      <c r="F47" s="33" t="s">
        <v>104</v>
      </c>
      <c r="G47" s="33"/>
      <c r="H47" s="1"/>
      <c r="I47" s="1"/>
    </row>
    <row r="48" spans="3:10" x14ac:dyDescent="0.25">
      <c r="C48" s="27" t="s">
        <v>44</v>
      </c>
      <c r="D48" s="8"/>
      <c r="E48" s="8"/>
      <c r="F48" s="12" t="s">
        <v>375</v>
      </c>
      <c r="G48" s="12"/>
      <c r="H48" s="1"/>
      <c r="I48" s="1"/>
    </row>
    <row r="49" spans="3:10" x14ac:dyDescent="0.25">
      <c r="C49" s="5" t="s">
        <v>348</v>
      </c>
      <c r="D49" s="8">
        <f>COUNTIFS($E8:$E32,"LAPTOP",$F8:$F32,"*7*",$F8:$F32,"&lt;&gt;*GGWA*")</f>
        <v>0</v>
      </c>
      <c r="E49" s="8">
        <f>COUNTIFS($E8:$E32,"DESKTOP",$F8:$F32,"*7*",$F8:$F32,"&lt;&gt;*GGWA*")</f>
        <v>0</v>
      </c>
      <c r="H49" s="12"/>
      <c r="I49" s="1"/>
      <c r="J49" s="1"/>
    </row>
    <row r="50" spans="3:10" x14ac:dyDescent="0.25">
      <c r="C50" s="8" t="s">
        <v>101</v>
      </c>
      <c r="D50" s="8">
        <f>COUNTIFS($E8:$E32,"LAPTOP",$F8:$F32,"*7*GGWA*")</f>
        <v>0</v>
      </c>
      <c r="E50" s="8">
        <f>COUNTIFS($E8:$E32,"DESKTOP",$F8:$F32,"*7*GGWA*")</f>
        <v>3</v>
      </c>
      <c r="H50" s="12"/>
      <c r="I50" s="1"/>
      <c r="J50" s="1"/>
    </row>
    <row r="51" spans="3:10" x14ac:dyDescent="0.25">
      <c r="C51" s="97" t="s">
        <v>45</v>
      </c>
      <c r="D51" s="26">
        <f>SUM(D41:D50)</f>
        <v>12</v>
      </c>
      <c r="E51" s="26">
        <f>SUM(E41:E50)</f>
        <v>12</v>
      </c>
      <c r="H51" s="12"/>
      <c r="I51" s="1"/>
      <c r="J51" s="1"/>
    </row>
    <row r="52" spans="3:10" x14ac:dyDescent="0.25">
      <c r="C52" s="97"/>
      <c r="D52" s="96">
        <f>D51+E51</f>
        <v>24</v>
      </c>
      <c r="E52" s="96"/>
      <c r="H52" s="29"/>
      <c r="I52" s="29"/>
      <c r="J52" s="29"/>
    </row>
  </sheetData>
  <autoFilter ref="B7:J32" xr:uid="{00000000-0009-0000-0000-000001000000}"/>
  <mergeCells count="8">
    <mergeCell ref="D52:E52"/>
    <mergeCell ref="C51:C52"/>
    <mergeCell ref="B2:I2"/>
    <mergeCell ref="B3:I3"/>
    <mergeCell ref="B4:I4"/>
    <mergeCell ref="B6:I6"/>
    <mergeCell ref="C39:E39"/>
    <mergeCell ref="H34:I34"/>
  </mergeCells>
  <dataValidations disablePrompts="1" count="2">
    <dataValidation type="list" allowBlank="1" showInputMessage="1" showErrorMessage="1" sqref="G8:G32" xr:uid="{00000000-0002-0000-0100-000000000000}">
      <formula1>"YES, NO"</formula1>
    </dataValidation>
    <dataValidation type="list" allowBlank="1" showInputMessage="1" showErrorMessage="1" sqref="E8:E32" xr:uid="{00000000-0002-0000-0100-000001000000}">
      <formula1>"Desktop, Laptop"</formula1>
    </dataValidation>
  </dataValidations>
  <pageMargins left="0.25" right="0.25" top="0.75" bottom="0.75" header="0.3" footer="0.3"/>
  <pageSetup scale="6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42"/>
  <sheetViews>
    <sheetView view="pageBreakPreview" zoomScale="85" zoomScaleNormal="100" zoomScaleSheetLayoutView="85" workbookViewId="0">
      <selection activeCell="B4" sqref="B4:I4"/>
    </sheetView>
  </sheetViews>
  <sheetFormatPr defaultRowHeight="15" x14ac:dyDescent="0.25"/>
  <cols>
    <col min="1" max="1" width="2.7109375" customWidth="1"/>
    <col min="2" max="2" width="5.28515625" customWidth="1"/>
    <col min="3" max="3" width="51.5703125" customWidth="1"/>
    <col min="4" max="4" width="25.7109375" bestFit="1" customWidth="1"/>
    <col min="5" max="5" width="14.7109375" style="1" bestFit="1" customWidth="1"/>
    <col min="6" max="6" width="27.28515625" style="1" customWidth="1"/>
    <col min="7" max="7" width="13.85546875" style="1" bestFit="1" customWidth="1"/>
    <col min="8" max="8" width="24.7109375" bestFit="1" customWidth="1"/>
    <col min="9" max="9" width="18.7109375" bestFit="1" customWidth="1"/>
    <col min="10" max="10" width="17.425781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'Head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25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x14ac:dyDescent="0.25">
      <c r="B9" s="4">
        <v>1</v>
      </c>
      <c r="C9" s="4" t="s">
        <v>155</v>
      </c>
      <c r="D9" s="4" t="s">
        <v>156</v>
      </c>
      <c r="E9" s="8" t="s">
        <v>4</v>
      </c>
      <c r="F9" s="8" t="s">
        <v>399</v>
      </c>
      <c r="G9" s="8" t="s">
        <v>338</v>
      </c>
      <c r="H9" s="5" t="s">
        <v>400</v>
      </c>
      <c r="I9" s="5" t="s">
        <v>8</v>
      </c>
      <c r="J9" s="4" t="s">
        <v>264</v>
      </c>
    </row>
    <row r="10" spans="2:10" x14ac:dyDescent="0.25">
      <c r="B10" s="4">
        <v>2</v>
      </c>
      <c r="C10" s="4" t="s">
        <v>311</v>
      </c>
      <c r="D10" s="4" t="s">
        <v>301</v>
      </c>
      <c r="E10" s="8" t="s">
        <v>3</v>
      </c>
      <c r="F10" s="8" t="s">
        <v>96</v>
      </c>
      <c r="G10" s="8" t="s">
        <v>338</v>
      </c>
      <c r="H10" s="5" t="s">
        <v>249</v>
      </c>
      <c r="I10" s="5" t="s">
        <v>8</v>
      </c>
      <c r="J10" s="4" t="s">
        <v>260</v>
      </c>
    </row>
    <row r="11" spans="2:10" x14ac:dyDescent="0.25">
      <c r="B11" s="4">
        <v>3</v>
      </c>
      <c r="C11" s="4" t="s">
        <v>159</v>
      </c>
      <c r="D11" s="4" t="s">
        <v>160</v>
      </c>
      <c r="E11" s="8" t="s">
        <v>3</v>
      </c>
      <c r="F11" s="8" t="s">
        <v>96</v>
      </c>
      <c r="G11" s="8" t="s">
        <v>338</v>
      </c>
      <c r="H11" s="5" t="s">
        <v>250</v>
      </c>
      <c r="I11" s="5" t="s">
        <v>8</v>
      </c>
      <c r="J11" s="4" t="s">
        <v>260</v>
      </c>
    </row>
    <row r="12" spans="2:10" x14ac:dyDescent="0.25">
      <c r="B12" s="4">
        <v>4</v>
      </c>
      <c r="C12" s="4" t="s">
        <v>162</v>
      </c>
      <c r="D12" s="4" t="s">
        <v>161</v>
      </c>
      <c r="E12" s="8" t="s">
        <v>3</v>
      </c>
      <c r="F12" s="8" t="s">
        <v>96</v>
      </c>
      <c r="G12" s="8" t="s">
        <v>338</v>
      </c>
      <c r="H12" s="5" t="s">
        <v>31</v>
      </c>
      <c r="I12" s="5" t="s">
        <v>8</v>
      </c>
      <c r="J12" s="4" t="s">
        <v>262</v>
      </c>
    </row>
    <row r="13" spans="2:10" x14ac:dyDescent="0.25">
      <c r="B13" s="4">
        <v>5</v>
      </c>
      <c r="C13" s="4" t="s">
        <v>27</v>
      </c>
      <c r="D13" s="4" t="s">
        <v>220</v>
      </c>
      <c r="E13" s="8" t="s">
        <v>3</v>
      </c>
      <c r="F13" s="8" t="s">
        <v>96</v>
      </c>
      <c r="G13" s="8" t="s">
        <v>338</v>
      </c>
      <c r="H13" s="5" t="s">
        <v>403</v>
      </c>
      <c r="I13" s="5" t="s">
        <v>8</v>
      </c>
      <c r="J13" s="4" t="s">
        <v>262</v>
      </c>
    </row>
    <row r="14" spans="2:10" x14ac:dyDescent="0.25">
      <c r="B14" s="4">
        <v>6</v>
      </c>
      <c r="C14" s="4" t="s">
        <v>163</v>
      </c>
      <c r="D14" s="4" t="s">
        <v>317</v>
      </c>
      <c r="E14" s="8" t="s">
        <v>3</v>
      </c>
      <c r="F14" s="8" t="s">
        <v>96</v>
      </c>
      <c r="G14" s="8" t="s">
        <v>338</v>
      </c>
      <c r="H14" s="5" t="s">
        <v>31</v>
      </c>
      <c r="I14" s="5" t="s">
        <v>29</v>
      </c>
      <c r="J14" s="4" t="s">
        <v>262</v>
      </c>
    </row>
    <row r="15" spans="2:10" x14ac:dyDescent="0.25">
      <c r="B15" s="4">
        <v>7</v>
      </c>
      <c r="C15" s="4" t="s">
        <v>164</v>
      </c>
      <c r="D15" s="4" t="s">
        <v>203</v>
      </c>
      <c r="E15" s="8" t="s">
        <v>3</v>
      </c>
      <c r="F15" s="8" t="s">
        <v>96</v>
      </c>
      <c r="G15" s="8" t="s">
        <v>338</v>
      </c>
      <c r="H15" s="5" t="s">
        <v>31</v>
      </c>
      <c r="I15" s="5" t="s">
        <v>8</v>
      </c>
      <c r="J15" s="4" t="s">
        <v>262</v>
      </c>
    </row>
    <row r="16" spans="2:10" x14ac:dyDescent="0.25">
      <c r="B16" s="4">
        <v>8</v>
      </c>
      <c r="C16" s="4" t="s">
        <v>164</v>
      </c>
      <c r="D16" s="4" t="s">
        <v>299</v>
      </c>
      <c r="E16" s="8" t="s">
        <v>3</v>
      </c>
      <c r="F16" s="8" t="s">
        <v>96</v>
      </c>
      <c r="G16" s="8" t="s">
        <v>338</v>
      </c>
      <c r="H16" s="5" t="s">
        <v>31</v>
      </c>
      <c r="I16" s="5" t="s">
        <v>8</v>
      </c>
      <c r="J16" s="4" t="s">
        <v>262</v>
      </c>
    </row>
    <row r="17" spans="2:10" x14ac:dyDescent="0.25">
      <c r="B17" s="4">
        <v>9</v>
      </c>
      <c r="C17" s="4" t="s">
        <v>167</v>
      </c>
      <c r="D17" s="4" t="s">
        <v>166</v>
      </c>
      <c r="E17" s="8" t="s">
        <v>3</v>
      </c>
      <c r="F17" s="8" t="s">
        <v>96</v>
      </c>
      <c r="G17" s="8" t="s">
        <v>338</v>
      </c>
      <c r="H17" s="5" t="s">
        <v>403</v>
      </c>
      <c r="I17" s="5" t="s">
        <v>8</v>
      </c>
      <c r="J17" s="4" t="s">
        <v>260</v>
      </c>
    </row>
    <row r="18" spans="2:10" s="9" customFormat="1" x14ac:dyDescent="0.25">
      <c r="B18" s="4">
        <v>10</v>
      </c>
      <c r="C18" s="10" t="s">
        <v>152</v>
      </c>
      <c r="D18" s="10" t="s">
        <v>353</v>
      </c>
      <c r="E18" s="8" t="s">
        <v>3</v>
      </c>
      <c r="F18" s="8" t="s">
        <v>96</v>
      </c>
      <c r="G18" s="8" t="s">
        <v>338</v>
      </c>
      <c r="H18" s="11" t="s">
        <v>403</v>
      </c>
      <c r="I18" s="5" t="s">
        <v>29</v>
      </c>
      <c r="J18" s="10" t="s">
        <v>260</v>
      </c>
    </row>
    <row r="19" spans="2:10" s="9" customFormat="1" x14ac:dyDescent="0.25">
      <c r="B19" s="4">
        <v>11</v>
      </c>
      <c r="C19" s="10" t="s">
        <v>354</v>
      </c>
      <c r="D19" s="10" t="s">
        <v>169</v>
      </c>
      <c r="E19" s="8" t="s">
        <v>3</v>
      </c>
      <c r="F19" s="8" t="s">
        <v>96</v>
      </c>
      <c r="G19" s="8" t="s">
        <v>338</v>
      </c>
      <c r="H19" s="11" t="s">
        <v>403</v>
      </c>
      <c r="I19" s="5" t="s">
        <v>29</v>
      </c>
      <c r="J19" s="10" t="s">
        <v>260</v>
      </c>
    </row>
    <row r="20" spans="2:10" s="9" customFormat="1" x14ac:dyDescent="0.25">
      <c r="B20" s="4">
        <v>13</v>
      </c>
      <c r="C20" s="4" t="s">
        <v>172</v>
      </c>
      <c r="D20" s="10" t="s">
        <v>300</v>
      </c>
      <c r="E20" s="8" t="s">
        <v>3</v>
      </c>
      <c r="F20" s="8" t="s">
        <v>96</v>
      </c>
      <c r="G20" s="8" t="s">
        <v>338</v>
      </c>
      <c r="H20" s="11" t="s">
        <v>403</v>
      </c>
      <c r="I20" s="5" t="s">
        <v>29</v>
      </c>
      <c r="J20" s="10" t="s">
        <v>263</v>
      </c>
    </row>
    <row r="23" spans="2:10" x14ac:dyDescent="0.25">
      <c r="C23" s="3" t="s">
        <v>17</v>
      </c>
      <c r="D23" s="3" t="s">
        <v>20</v>
      </c>
      <c r="E23" s="3" t="s">
        <v>21</v>
      </c>
      <c r="F23" s="3" t="s">
        <v>8</v>
      </c>
      <c r="G23" s="2"/>
      <c r="H23" s="102" t="s">
        <v>392</v>
      </c>
      <c r="I23" s="102"/>
    </row>
    <row r="24" spans="2:10" x14ac:dyDescent="0.25">
      <c r="C24" s="4" t="s">
        <v>18</v>
      </c>
      <c r="D24" s="5">
        <f>COUNTIF($G9:$G20,"YES")</f>
        <v>12</v>
      </c>
      <c r="E24" s="5">
        <f>COUNTIFS($H9:$H20,"&lt;&gt;",$H9:$H20,"&lt;&gt;OPEN OFFICE/LIBREOFFICE")</f>
        <v>7</v>
      </c>
      <c r="F24" s="5">
        <f>COUNTIFS($I9:$I20,"CAL")</f>
        <v>8</v>
      </c>
      <c r="G24" s="15"/>
      <c r="H24" s="8" t="s">
        <v>107</v>
      </c>
      <c r="I24" s="8">
        <f>COUNTIF(H9:H20,"*2010")</f>
        <v>5</v>
      </c>
    </row>
    <row r="25" spans="2:10" x14ac:dyDescent="0.25">
      <c r="C25" s="4" t="s">
        <v>19</v>
      </c>
      <c r="D25" s="5">
        <f>COUNTIF($G9:$G20,"NO")</f>
        <v>0</v>
      </c>
      <c r="E25" s="5">
        <f>COUNTIFS($H9:$H20,"&lt;&gt;",$H9:$H20,"OPEN OFFICE/LIBREOFFICE")</f>
        <v>5</v>
      </c>
      <c r="F25" s="5">
        <f>COUNTIFS($I9:$I20,"NONE")</f>
        <v>4</v>
      </c>
      <c r="G25" s="15"/>
      <c r="H25" s="8" t="s">
        <v>108</v>
      </c>
      <c r="I25" s="8">
        <f>COUNTIF(H9:H20,"*2016")</f>
        <v>1</v>
      </c>
    </row>
    <row r="26" spans="2:10" x14ac:dyDescent="0.25">
      <c r="E26" s="6" t="s">
        <v>16</v>
      </c>
      <c r="F26" s="7">
        <f>COUNTIFS($I9:$I20,"EXCLUDED")</f>
        <v>0</v>
      </c>
      <c r="H26" s="8" t="s">
        <v>393</v>
      </c>
      <c r="I26" s="8">
        <f>COUNTIF(H9:H20,"*2021")</f>
        <v>0</v>
      </c>
    </row>
    <row r="27" spans="2:10" x14ac:dyDescent="0.25">
      <c r="H27" s="8" t="s">
        <v>394</v>
      </c>
      <c r="I27" s="8">
        <f>COUNTIF(H9:H20,"*2024")</f>
        <v>0</v>
      </c>
    </row>
    <row r="28" spans="2:10" x14ac:dyDescent="0.25">
      <c r="H28" s="8" t="s">
        <v>400</v>
      </c>
      <c r="I28" s="8">
        <f>COUNTIF(H9:H20,"*365")</f>
        <v>1</v>
      </c>
    </row>
    <row r="29" spans="2:10" x14ac:dyDescent="0.25">
      <c r="C29" s="97" t="s">
        <v>39</v>
      </c>
      <c r="D29" s="97"/>
      <c r="E29" s="97"/>
      <c r="H29" s="103"/>
      <c r="I29" s="103"/>
    </row>
    <row r="30" spans="2:10" x14ac:dyDescent="0.25">
      <c r="C30" s="4"/>
      <c r="D30" s="3" t="s">
        <v>4</v>
      </c>
      <c r="E30" s="3" t="s">
        <v>98</v>
      </c>
      <c r="H30" s="12"/>
      <c r="I30" s="1"/>
    </row>
    <row r="31" spans="2:10" x14ac:dyDescent="0.25">
      <c r="C31" s="27" t="s">
        <v>333</v>
      </c>
      <c r="D31" s="3"/>
      <c r="E31" s="3"/>
      <c r="G31" s="89"/>
      <c r="H31" s="12"/>
      <c r="I31" s="1"/>
    </row>
    <row r="32" spans="2:10" x14ac:dyDescent="0.25">
      <c r="C32" s="5" t="s">
        <v>340</v>
      </c>
      <c r="D32" s="5">
        <f>COUNTIFS($E9:$E20,"LAPTOP",$F9:$F20,"*11*HOME*")</f>
        <v>0</v>
      </c>
      <c r="E32" s="5">
        <f>COUNTIFS($E9:$E20,"DESKTOP",$F9:$F20,"*11*HOME*")</f>
        <v>0</v>
      </c>
      <c r="G32" s="90"/>
      <c r="H32" s="12"/>
      <c r="I32" s="1"/>
    </row>
    <row r="33" spans="3:9" x14ac:dyDescent="0.25">
      <c r="C33" s="5" t="s">
        <v>100</v>
      </c>
      <c r="D33" s="5">
        <f>COUNTIFS($E9:$E20,"LAPTOP",$F9:$F20,"*11*PRO*")</f>
        <v>0</v>
      </c>
      <c r="E33" s="5">
        <f>COUNTIFS($E9:$E20,"DESKTOP",$F9:$F20,"*11*PRO*")</f>
        <v>0</v>
      </c>
      <c r="H33" s="12"/>
      <c r="I33" s="1"/>
    </row>
    <row r="34" spans="3:9" x14ac:dyDescent="0.25">
      <c r="C34" s="27" t="s">
        <v>7</v>
      </c>
      <c r="D34" s="8"/>
      <c r="E34" s="8"/>
      <c r="H34" s="12"/>
      <c r="I34" s="1"/>
    </row>
    <row r="35" spans="3:9" x14ac:dyDescent="0.25">
      <c r="C35" s="8" t="s">
        <v>99</v>
      </c>
      <c r="D35" s="8">
        <f>COUNTIFS($E9:$E20,"LAPTOP",$F9:$F20,"*10*OEM*")</f>
        <v>0</v>
      </c>
      <c r="E35" s="8">
        <f>COUNTIFS($E9:$E20,"DESKTOP",$F9:$F20,"*10*OEM*")</f>
        <v>0</v>
      </c>
      <c r="H35" s="12"/>
      <c r="I35" s="1"/>
    </row>
    <row r="36" spans="3:9" x14ac:dyDescent="0.25">
      <c r="C36" s="8" t="s">
        <v>100</v>
      </c>
      <c r="D36" s="8">
        <f>COUNTIFS($E9:$E20,"LAPTOP",$F9:$F20,"*10*",$F9:$F20,"&lt;&gt;*OEM*")</f>
        <v>0</v>
      </c>
      <c r="E36" s="8">
        <f>COUNTIFS($E9:$E20,"DESKTOP",$F9:$F20,"*10*",$F9:$F20,"&lt;&gt;*OEM*")</f>
        <v>11</v>
      </c>
      <c r="H36" s="12"/>
      <c r="I36" s="1"/>
    </row>
    <row r="37" spans="3:9" x14ac:dyDescent="0.25">
      <c r="C37" s="27" t="s">
        <v>6</v>
      </c>
      <c r="D37" s="8"/>
      <c r="E37" s="8"/>
      <c r="H37" s="12"/>
      <c r="I37" s="1"/>
    </row>
    <row r="38" spans="3:9" x14ac:dyDescent="0.25">
      <c r="C38" s="27" t="s">
        <v>44</v>
      </c>
      <c r="D38" s="8"/>
      <c r="E38" s="8"/>
      <c r="H38" s="29"/>
      <c r="I38" s="29"/>
    </row>
    <row r="39" spans="3:9" x14ac:dyDescent="0.25">
      <c r="C39" s="5" t="s">
        <v>348</v>
      </c>
      <c r="D39" s="8">
        <f>COUNTIFS($E9:$E20,"LAPTOP",$F9:$F20,"*7*",$F9:$F20,"&lt;&gt;*GGWA*")</f>
        <v>0</v>
      </c>
      <c r="E39" s="8">
        <f>COUNTIFS($E9:$E20,"DESKTOP",$F9:$F20,"*7*",$F9:$F20,"&lt;&gt;*GGWA*")</f>
        <v>0</v>
      </c>
      <c r="H39" s="29"/>
      <c r="I39" s="29"/>
    </row>
    <row r="40" spans="3:9" x14ac:dyDescent="0.25">
      <c r="C40" s="8" t="s">
        <v>101</v>
      </c>
      <c r="D40" s="8">
        <f>COUNTIFS($E9:$E20,"LAPTOP",$F9:$F20,"*7*",$F9:$F20,"*GGWA*")</f>
        <v>0</v>
      </c>
      <c r="E40" s="8">
        <f>COUNTIFS($E9:$E20,"DESKTOP",$F9:$F20,"*7*",$F9:$F20,"*GGWA*")</f>
        <v>0</v>
      </c>
    </row>
    <row r="41" spans="3:9" x14ac:dyDescent="0.25">
      <c r="C41" s="97" t="s">
        <v>45</v>
      </c>
      <c r="D41" s="26">
        <f>SUM(D31:D40)</f>
        <v>0</v>
      </c>
      <c r="E41" s="26">
        <f>SUM(E31:E40)</f>
        <v>11</v>
      </c>
    </row>
    <row r="42" spans="3:9" x14ac:dyDescent="0.25">
      <c r="C42" s="97"/>
      <c r="D42" s="96">
        <f>D41+E41</f>
        <v>11</v>
      </c>
      <c r="E42" s="96"/>
    </row>
  </sheetData>
  <autoFilter ref="B8:J20" xr:uid="{00000000-0009-0000-0000-000002000000}">
    <filterColumn colId="0" showButton="0"/>
  </autoFilter>
  <mergeCells count="10">
    <mergeCell ref="D42:E42"/>
    <mergeCell ref="C41:C42"/>
    <mergeCell ref="B8:C8"/>
    <mergeCell ref="H29:I29"/>
    <mergeCell ref="B2:I2"/>
    <mergeCell ref="B3:I3"/>
    <mergeCell ref="B4:I4"/>
    <mergeCell ref="B6:I6"/>
    <mergeCell ref="C29:E29"/>
    <mergeCell ref="H23:I23"/>
  </mergeCells>
  <phoneticPr fontId="8" type="noConversion"/>
  <dataValidations count="2">
    <dataValidation type="list" allowBlank="1" showInputMessage="1" showErrorMessage="1" sqref="G9:G20" xr:uid="{00000000-0002-0000-0200-000000000000}">
      <formula1>"YES, NO"</formula1>
    </dataValidation>
    <dataValidation type="list" allowBlank="1" showInputMessage="1" showErrorMessage="1" sqref="E9:E20" xr:uid="{00000000-0002-0000-0200-000001000000}">
      <formula1>"Desktop, Laptop"</formula1>
    </dataValidation>
  </dataValidations>
  <pageMargins left="0.25" right="0.25" top="0.75" bottom="0.75" header="0.3" footer="0.3"/>
  <pageSetup scale="6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5"/>
  <sheetViews>
    <sheetView view="pageBreakPreview" topLeftCell="A4" zoomScale="90" zoomScaleNormal="100" zoomScaleSheetLayoutView="90" zoomScalePageLayoutView="80" workbookViewId="0">
      <selection activeCell="B4" sqref="B4:I4"/>
    </sheetView>
  </sheetViews>
  <sheetFormatPr defaultRowHeight="15" x14ac:dyDescent="0.25"/>
  <cols>
    <col min="1" max="1" width="2.7109375" customWidth="1"/>
    <col min="2" max="2" width="5.28515625" customWidth="1"/>
    <col min="3" max="3" width="31.7109375" customWidth="1"/>
    <col min="4" max="4" width="26.28515625" customWidth="1"/>
    <col min="5" max="5" width="14.7109375" style="1" bestFit="1" customWidth="1"/>
    <col min="6" max="6" width="23.7109375" style="1" bestFit="1" customWidth="1"/>
    <col min="7" max="7" width="13.85546875" style="1" bestFit="1" customWidth="1"/>
    <col min="8" max="8" width="24.7109375" bestFit="1" customWidth="1"/>
    <col min="9" max="9" width="18.7109375" bestFit="1" customWidth="1"/>
    <col min="10" max="10" width="21.285156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32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ht="18" customHeight="1" x14ac:dyDescent="0.25">
      <c r="B9" s="4">
        <v>1</v>
      </c>
      <c r="C9" s="4" t="s">
        <v>173</v>
      </c>
      <c r="D9" s="4" t="s">
        <v>174</v>
      </c>
      <c r="E9" s="8" t="s">
        <v>4</v>
      </c>
      <c r="F9" s="8" t="s">
        <v>402</v>
      </c>
      <c r="G9" s="8" t="s">
        <v>338</v>
      </c>
      <c r="H9" s="5" t="s">
        <v>351</v>
      </c>
      <c r="I9" s="5" t="s">
        <v>8</v>
      </c>
      <c r="J9" s="4" t="s">
        <v>264</v>
      </c>
    </row>
    <row r="10" spans="2:10" x14ac:dyDescent="0.25">
      <c r="B10" s="4">
        <v>2</v>
      </c>
      <c r="C10" s="4" t="s">
        <v>159</v>
      </c>
      <c r="D10" s="4" t="s">
        <v>245</v>
      </c>
      <c r="E10" s="8" t="s">
        <v>3</v>
      </c>
      <c r="F10" s="8" t="s">
        <v>92</v>
      </c>
      <c r="G10" s="8" t="s">
        <v>338</v>
      </c>
      <c r="H10" s="5" t="s">
        <v>31</v>
      </c>
      <c r="I10" s="5" t="s">
        <v>8</v>
      </c>
      <c r="J10" s="4" t="s">
        <v>260</v>
      </c>
    </row>
    <row r="11" spans="2:10" x14ac:dyDescent="0.25">
      <c r="B11" s="4">
        <v>3</v>
      </c>
      <c r="C11" s="4" t="s">
        <v>355</v>
      </c>
      <c r="D11" s="4" t="s">
        <v>176</v>
      </c>
      <c r="E11" s="8" t="s">
        <v>3</v>
      </c>
      <c r="F11" s="8" t="s">
        <v>391</v>
      </c>
      <c r="G11" s="8" t="s">
        <v>338</v>
      </c>
      <c r="H11" s="5" t="s">
        <v>31</v>
      </c>
      <c r="I11" s="5" t="s">
        <v>8</v>
      </c>
      <c r="J11" s="4" t="s">
        <v>262</v>
      </c>
    </row>
    <row r="12" spans="2:10" x14ac:dyDescent="0.25">
      <c r="B12" s="4">
        <v>4</v>
      </c>
      <c r="C12" s="4" t="s">
        <v>27</v>
      </c>
      <c r="D12" s="4" t="s">
        <v>180</v>
      </c>
      <c r="E12" s="8" t="s">
        <v>3</v>
      </c>
      <c r="F12" s="8" t="s">
        <v>381</v>
      </c>
      <c r="G12" s="8" t="s">
        <v>338</v>
      </c>
      <c r="H12" s="5" t="s">
        <v>403</v>
      </c>
      <c r="I12" s="5" t="s">
        <v>8</v>
      </c>
      <c r="J12" s="4" t="s">
        <v>262</v>
      </c>
    </row>
    <row r="13" spans="2:10" x14ac:dyDescent="0.25">
      <c r="B13" s="4">
        <v>5</v>
      </c>
      <c r="C13" s="4" t="s">
        <v>163</v>
      </c>
      <c r="D13" s="4" t="s">
        <v>356</v>
      </c>
      <c r="E13" s="8" t="s">
        <v>3</v>
      </c>
      <c r="F13" s="8" t="s">
        <v>328</v>
      </c>
      <c r="G13" s="8" t="s">
        <v>338</v>
      </c>
      <c r="H13" s="5" t="s">
        <v>31</v>
      </c>
      <c r="I13" s="5" t="s">
        <v>8</v>
      </c>
      <c r="J13" s="4" t="s">
        <v>262</v>
      </c>
    </row>
    <row r="14" spans="2:10" x14ac:dyDescent="0.25">
      <c r="B14" s="4">
        <v>6</v>
      </c>
      <c r="C14" s="4" t="s">
        <v>164</v>
      </c>
      <c r="D14" s="4" t="s">
        <v>177</v>
      </c>
      <c r="E14" s="8" t="s">
        <v>3</v>
      </c>
      <c r="F14" s="8" t="s">
        <v>321</v>
      </c>
      <c r="G14" s="8" t="s">
        <v>338</v>
      </c>
      <c r="H14" s="5" t="s">
        <v>31</v>
      </c>
      <c r="I14" s="5" t="s">
        <v>8</v>
      </c>
      <c r="J14" s="4" t="s">
        <v>262</v>
      </c>
    </row>
    <row r="15" spans="2:10" x14ac:dyDescent="0.25">
      <c r="B15" s="4">
        <v>7</v>
      </c>
      <c r="C15" s="4" t="s">
        <v>357</v>
      </c>
      <c r="D15" s="4" t="s">
        <v>178</v>
      </c>
      <c r="E15" s="8" t="s">
        <v>3</v>
      </c>
      <c r="F15" s="8" t="s">
        <v>321</v>
      </c>
      <c r="G15" s="8" t="s">
        <v>338</v>
      </c>
      <c r="H15" s="5" t="s">
        <v>403</v>
      </c>
      <c r="I15" s="5" t="s">
        <v>8</v>
      </c>
      <c r="J15" s="4" t="s">
        <v>262</v>
      </c>
    </row>
    <row r="16" spans="2:10" x14ac:dyDescent="0.25">
      <c r="B16" s="4">
        <v>8</v>
      </c>
      <c r="C16" s="4" t="s">
        <v>167</v>
      </c>
      <c r="D16" s="4" t="s">
        <v>358</v>
      </c>
      <c r="E16" s="8" t="s">
        <v>3</v>
      </c>
      <c r="F16" s="8" t="s">
        <v>92</v>
      </c>
      <c r="G16" s="8" t="s">
        <v>338</v>
      </c>
      <c r="H16" s="5" t="s">
        <v>403</v>
      </c>
      <c r="I16" s="5" t="s">
        <v>8</v>
      </c>
      <c r="J16" s="4" t="s">
        <v>260</v>
      </c>
    </row>
    <row r="17" spans="2:10" s="9" customFormat="1" x14ac:dyDescent="0.25">
      <c r="B17" s="4">
        <v>9</v>
      </c>
      <c r="C17" s="10" t="s">
        <v>181</v>
      </c>
      <c r="D17" s="10" t="s">
        <v>179</v>
      </c>
      <c r="E17" s="8" t="s">
        <v>3</v>
      </c>
      <c r="F17" s="8" t="s">
        <v>92</v>
      </c>
      <c r="G17" s="8" t="s">
        <v>338</v>
      </c>
      <c r="H17" s="5" t="s">
        <v>128</v>
      </c>
      <c r="I17" s="5" t="s">
        <v>8</v>
      </c>
      <c r="J17" s="10" t="s">
        <v>260</v>
      </c>
    </row>
    <row r="18" spans="2:10" s="9" customFormat="1" x14ac:dyDescent="0.25">
      <c r="B18" s="4">
        <v>10</v>
      </c>
      <c r="C18" s="10" t="s">
        <v>170</v>
      </c>
      <c r="D18" s="10" t="s">
        <v>359</v>
      </c>
      <c r="E18" s="8" t="s">
        <v>3</v>
      </c>
      <c r="F18" s="8" t="s">
        <v>92</v>
      </c>
      <c r="G18" s="8" t="s">
        <v>338</v>
      </c>
      <c r="H18" s="5" t="s">
        <v>403</v>
      </c>
      <c r="I18" s="5" t="s">
        <v>29</v>
      </c>
      <c r="J18" s="10" t="s">
        <v>260</v>
      </c>
    </row>
    <row r="19" spans="2:10" s="9" customFormat="1" x14ac:dyDescent="0.25">
      <c r="B19" s="4">
        <v>11</v>
      </c>
      <c r="C19" s="10" t="s">
        <v>377</v>
      </c>
      <c r="D19" s="10" t="s">
        <v>376</v>
      </c>
      <c r="E19" s="8" t="s">
        <v>3</v>
      </c>
      <c r="F19" s="8" t="s">
        <v>92</v>
      </c>
      <c r="G19" s="8" t="s">
        <v>338</v>
      </c>
      <c r="H19" s="5" t="s">
        <v>91</v>
      </c>
      <c r="I19" s="5" t="s">
        <v>29</v>
      </c>
      <c r="J19" s="10" t="s">
        <v>263</v>
      </c>
    </row>
    <row r="20" spans="2:10" x14ac:dyDescent="0.25">
      <c r="B20" s="4">
        <v>12</v>
      </c>
      <c r="C20" s="4" t="s">
        <v>311</v>
      </c>
      <c r="D20" s="4" t="s">
        <v>175</v>
      </c>
      <c r="E20" s="8" t="s">
        <v>3</v>
      </c>
      <c r="F20" s="8" t="s">
        <v>92</v>
      </c>
      <c r="G20" s="8" t="s">
        <v>338</v>
      </c>
      <c r="H20" s="5" t="s">
        <v>403</v>
      </c>
      <c r="I20" s="5" t="s">
        <v>8</v>
      </c>
      <c r="J20" s="4" t="s">
        <v>263</v>
      </c>
    </row>
    <row r="21" spans="2:10" s="9" customFormat="1" x14ac:dyDescent="0.25">
      <c r="B21" s="4">
        <v>13</v>
      </c>
      <c r="C21" s="10" t="s">
        <v>33</v>
      </c>
      <c r="D21" s="10" t="s">
        <v>360</v>
      </c>
      <c r="E21" s="8" t="s">
        <v>3</v>
      </c>
      <c r="F21" s="8" t="s">
        <v>321</v>
      </c>
      <c r="G21" s="8" t="s">
        <v>338</v>
      </c>
      <c r="H21" s="5" t="s">
        <v>403</v>
      </c>
      <c r="I21" s="5" t="s">
        <v>29</v>
      </c>
      <c r="J21" s="10" t="s">
        <v>263</v>
      </c>
    </row>
    <row r="22" spans="2:10" s="9" customFormat="1" x14ac:dyDescent="0.25">
      <c r="B22" s="4">
        <v>14</v>
      </c>
      <c r="C22" s="10" t="s">
        <v>33</v>
      </c>
      <c r="D22" s="10" t="s">
        <v>182</v>
      </c>
      <c r="E22" s="8" t="s">
        <v>3</v>
      </c>
      <c r="F22" s="8" t="s">
        <v>321</v>
      </c>
      <c r="G22" s="8" t="s">
        <v>338</v>
      </c>
      <c r="H22" s="5" t="s">
        <v>403</v>
      </c>
      <c r="I22" s="5" t="s">
        <v>29</v>
      </c>
      <c r="J22" s="10" t="s">
        <v>263</v>
      </c>
    </row>
    <row r="23" spans="2:10" s="9" customFormat="1" x14ac:dyDescent="0.25">
      <c r="B23" s="4">
        <v>15</v>
      </c>
      <c r="C23" s="10" t="s">
        <v>183</v>
      </c>
      <c r="D23" s="10" t="s">
        <v>361</v>
      </c>
      <c r="E23" s="8" t="s">
        <v>3</v>
      </c>
      <c r="F23" s="8" t="s">
        <v>321</v>
      </c>
      <c r="G23" s="8" t="s">
        <v>338</v>
      </c>
      <c r="H23" s="5" t="s">
        <v>403</v>
      </c>
      <c r="I23" s="11" t="s">
        <v>16</v>
      </c>
      <c r="J23" s="10" t="s">
        <v>262</v>
      </c>
    </row>
    <row r="24" spans="2:10" s="9" customFormat="1" x14ac:dyDescent="0.25">
      <c r="B24" s="4">
        <v>16</v>
      </c>
      <c r="C24" s="10" t="s">
        <v>377</v>
      </c>
      <c r="D24" s="10" t="s">
        <v>186</v>
      </c>
      <c r="E24" s="8" t="s">
        <v>3</v>
      </c>
      <c r="F24" s="8" t="s">
        <v>321</v>
      </c>
      <c r="G24" s="8" t="s">
        <v>338</v>
      </c>
      <c r="H24" s="5" t="s">
        <v>403</v>
      </c>
      <c r="I24" s="11" t="s">
        <v>8</v>
      </c>
      <c r="J24" s="10" t="s">
        <v>263</v>
      </c>
    </row>
    <row r="25" spans="2:10" s="9" customFormat="1" x14ac:dyDescent="0.25">
      <c r="B25" s="4">
        <v>17</v>
      </c>
      <c r="C25" s="10" t="s">
        <v>34</v>
      </c>
      <c r="D25" s="10" t="s">
        <v>184</v>
      </c>
      <c r="E25" s="8" t="s">
        <v>3</v>
      </c>
      <c r="F25" s="8" t="s">
        <v>321</v>
      </c>
      <c r="G25" s="8" t="s">
        <v>338</v>
      </c>
      <c r="H25" s="5" t="s">
        <v>403</v>
      </c>
      <c r="I25" s="11" t="s">
        <v>16</v>
      </c>
      <c r="J25" s="10" t="s">
        <v>255</v>
      </c>
    </row>
    <row r="28" spans="2:10" x14ac:dyDescent="0.25">
      <c r="C28" s="3" t="s">
        <v>17</v>
      </c>
      <c r="D28" s="3" t="s">
        <v>20</v>
      </c>
      <c r="E28" s="3" t="s">
        <v>21</v>
      </c>
      <c r="F28" s="3" t="s">
        <v>8</v>
      </c>
      <c r="G28" s="2"/>
      <c r="H28" s="102" t="s">
        <v>392</v>
      </c>
      <c r="I28" s="102"/>
    </row>
    <row r="29" spans="2:10" x14ac:dyDescent="0.25">
      <c r="C29" s="4" t="s">
        <v>18</v>
      </c>
      <c r="D29" s="5">
        <f>COUNTIF($G9:$G25,"YES")</f>
        <v>17</v>
      </c>
      <c r="E29" s="5">
        <f>COUNTIFS($H9:$H25,"&lt;&gt;",$H9:$H25,"&lt;&gt;OPEN OFFICE/LIBREOFFICE")</f>
        <v>7</v>
      </c>
      <c r="F29" s="5">
        <f>COUNTIFS($I9:$I25,"CAL")</f>
        <v>11</v>
      </c>
      <c r="G29" s="15"/>
      <c r="H29" s="8" t="s">
        <v>107</v>
      </c>
      <c r="I29" s="8">
        <f>COUNTIF(H9:H25,"*2010")</f>
        <v>4</v>
      </c>
    </row>
    <row r="30" spans="2:10" x14ac:dyDescent="0.25">
      <c r="C30" s="4" t="s">
        <v>19</v>
      </c>
      <c r="D30" s="5">
        <f>COUNTIF($G9:$G25,"NO")</f>
        <v>0</v>
      </c>
      <c r="E30" s="5">
        <f>COUNTIFS($H9:$H25,"&lt;&gt;",$H9:$H25,"OPEN OFFICE/LIBREOFFICE")</f>
        <v>10</v>
      </c>
      <c r="F30" s="5">
        <f>COUNTIFS($I9:$I25,"NONE")</f>
        <v>4</v>
      </c>
      <c r="G30" s="15"/>
      <c r="H30" s="8" t="s">
        <v>108</v>
      </c>
      <c r="I30" s="8">
        <f>COUNTIF(H9:H25,"*2016")</f>
        <v>1</v>
      </c>
    </row>
    <row r="31" spans="2:10" x14ac:dyDescent="0.25">
      <c r="E31" s="32" t="s">
        <v>16</v>
      </c>
      <c r="F31" s="8">
        <f>COUNTIFS($I9:$I25,"EXCLUDED")</f>
        <v>2</v>
      </c>
      <c r="H31" s="8" t="s">
        <v>393</v>
      </c>
      <c r="I31" s="8">
        <f>COUNTIF(H9:H25,"*2021")</f>
        <v>0</v>
      </c>
    </row>
    <row r="32" spans="2:10" x14ac:dyDescent="0.25">
      <c r="H32" s="8" t="s">
        <v>394</v>
      </c>
      <c r="I32" s="8">
        <f>COUNTIF(H9:H25,"*2024")</f>
        <v>1</v>
      </c>
    </row>
    <row r="33" spans="3:5" x14ac:dyDescent="0.25">
      <c r="C33" s="97" t="s">
        <v>39</v>
      </c>
      <c r="D33" s="97"/>
      <c r="E33" s="97"/>
    </row>
    <row r="34" spans="3:5" x14ac:dyDescent="0.25">
      <c r="C34" s="4"/>
      <c r="D34" s="3" t="s">
        <v>4</v>
      </c>
      <c r="E34" s="3" t="s">
        <v>98</v>
      </c>
    </row>
    <row r="35" spans="3:5" x14ac:dyDescent="0.25">
      <c r="C35" s="27" t="s">
        <v>333</v>
      </c>
      <c r="D35" s="3"/>
      <c r="E35" s="3"/>
    </row>
    <row r="36" spans="3:5" x14ac:dyDescent="0.25">
      <c r="C36" s="8" t="s">
        <v>340</v>
      </c>
      <c r="D36" s="5">
        <f>COUNTIFS($E9:$E25,"LAPTOP",$F9:$F25,"*11*HOME*")</f>
        <v>0</v>
      </c>
      <c r="E36" s="5">
        <f>COUNTIFS($E9:$E25,"DESKTOP",$F9:$F25,"*11*HOME*")</f>
        <v>0</v>
      </c>
    </row>
    <row r="37" spans="3:5" x14ac:dyDescent="0.25">
      <c r="C37" s="8" t="s">
        <v>100</v>
      </c>
      <c r="D37" s="5">
        <f>COUNTIFS($E9:$E25,"LAPTOP",$F9:$F25,"*11*PRO*")</f>
        <v>1</v>
      </c>
      <c r="E37" s="5">
        <f>COUNTIFS($E9:$E25,"DESKTOP",$F9:$F25,"*11*PRO*")</f>
        <v>0</v>
      </c>
    </row>
    <row r="38" spans="3:5" x14ac:dyDescent="0.25">
      <c r="C38" s="27" t="s">
        <v>7</v>
      </c>
      <c r="D38" s="8"/>
      <c r="E38" s="8"/>
    </row>
    <row r="39" spans="3:5" x14ac:dyDescent="0.25">
      <c r="C39" s="8" t="s">
        <v>99</v>
      </c>
      <c r="D39" s="8">
        <f>COUNTIFS($E9:$E25,"LAPTOP",$F9:$F25,"*10*OEM*")</f>
        <v>0</v>
      </c>
      <c r="E39" s="8">
        <f>COUNTIFS($E9:$E25,"DESKTOP",$F9:$F25,"*10*OEM*")</f>
        <v>1</v>
      </c>
    </row>
    <row r="40" spans="3:5" x14ac:dyDescent="0.25">
      <c r="C40" s="8" t="s">
        <v>100</v>
      </c>
      <c r="D40" s="8">
        <f>COUNTIFS($E9:$E25,"LAPTOP",$F9:$F25,"*10*",$F9:$F25,"&lt;&gt;*OEM*")</f>
        <v>0</v>
      </c>
      <c r="E40" s="8">
        <f>COUNTIFS($E9:$E25,"DESKTOP",$F9:$F25,"*10*",$F9:$F25,"&lt;&gt;*OEM*")</f>
        <v>7</v>
      </c>
    </row>
    <row r="41" spans="3:5" x14ac:dyDescent="0.25">
      <c r="C41" s="27" t="s">
        <v>44</v>
      </c>
      <c r="D41" s="8"/>
      <c r="E41" s="8"/>
    </row>
    <row r="42" spans="3:5" x14ac:dyDescent="0.25">
      <c r="C42" s="5" t="s">
        <v>348</v>
      </c>
      <c r="D42" s="8">
        <f>COUNTIFS($E9:$E25,"LAPTOP",$F9:$F25,"*7*",$F9:$F25,"&lt;&gt;*GGWA*")</f>
        <v>0</v>
      </c>
      <c r="E42" s="8">
        <f>COUNTIFS($E9:$E25,"DESKTOP",$F9:$F25,"*7*",$F9:$F25,"&lt;&gt;*GGWA*")</f>
        <v>1</v>
      </c>
    </row>
    <row r="43" spans="3:5" x14ac:dyDescent="0.25">
      <c r="C43" s="8" t="s">
        <v>101</v>
      </c>
      <c r="D43" s="8">
        <f>COUNTIFS($E9:$E25,"LAPTOP",$F9:$F25,"*7*",$F9:$F25,"*GGWA*")</f>
        <v>0</v>
      </c>
      <c r="E43" s="8">
        <f>COUNTIFS($E9:$E25,"DESKTOP",$F9:$F25,"*7*",$F9:$F25,"*GGWA*")</f>
        <v>7</v>
      </c>
    </row>
    <row r="44" spans="3:5" x14ac:dyDescent="0.25">
      <c r="C44" s="97" t="s">
        <v>45</v>
      </c>
      <c r="D44" s="26">
        <f>SUM(D35:D43)</f>
        <v>1</v>
      </c>
      <c r="E44" s="26">
        <f>SUM(E35:E43)</f>
        <v>16</v>
      </c>
    </row>
    <row r="45" spans="3:5" x14ac:dyDescent="0.25">
      <c r="C45" s="97"/>
      <c r="D45" s="96">
        <f>D44+E44</f>
        <v>17</v>
      </c>
      <c r="E45" s="96"/>
    </row>
  </sheetData>
  <autoFilter ref="B8:J25" xr:uid="{00000000-0009-0000-0000-000003000000}">
    <filterColumn colId="0" showButton="0"/>
  </autoFilter>
  <mergeCells count="9">
    <mergeCell ref="C44:C45"/>
    <mergeCell ref="D45:E45"/>
    <mergeCell ref="B2:I2"/>
    <mergeCell ref="B3:I3"/>
    <mergeCell ref="B4:I4"/>
    <mergeCell ref="B6:I6"/>
    <mergeCell ref="B8:C8"/>
    <mergeCell ref="C33:E33"/>
    <mergeCell ref="H28:I28"/>
  </mergeCells>
  <dataValidations count="2">
    <dataValidation type="list" allowBlank="1" showInputMessage="1" showErrorMessage="1" sqref="G9:G25" xr:uid="{00000000-0002-0000-0300-000000000000}">
      <formula1>"YES, NO"</formula1>
    </dataValidation>
    <dataValidation type="list" allowBlank="1" showInputMessage="1" showErrorMessage="1" sqref="E9:E25" xr:uid="{00000000-0002-0000-0300-000001000000}">
      <formula1>"Desktop, Laptop"</formula1>
    </dataValidation>
  </dataValidations>
  <pageMargins left="0.25" right="0.25" top="0.75" bottom="0.75" header="0.3" footer="0.3"/>
  <pageSetup scale="73" fitToHeight="0" orientation="landscape" horizontalDpi="300" verticalDpi="300" r:id="rId1"/>
  <rowBreaks count="1" manualBreakCount="1">
    <brk id="45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9"/>
  <sheetViews>
    <sheetView view="pageBreakPreview" zoomScale="85" zoomScaleNormal="100" zoomScaleSheetLayoutView="85" workbookViewId="0">
      <selection activeCell="F19" sqref="F19"/>
    </sheetView>
  </sheetViews>
  <sheetFormatPr defaultRowHeight="15" x14ac:dyDescent="0.25"/>
  <cols>
    <col min="1" max="1" width="2.7109375" customWidth="1"/>
    <col min="2" max="2" width="5.28515625" customWidth="1"/>
    <col min="3" max="3" width="38.7109375" customWidth="1"/>
    <col min="4" max="4" width="27.7109375" customWidth="1"/>
    <col min="5" max="5" width="22.42578125" style="1" customWidth="1"/>
    <col min="6" max="6" width="31" style="1" customWidth="1"/>
    <col min="7" max="7" width="13.85546875" style="1" bestFit="1" customWidth="1"/>
    <col min="8" max="8" width="24.7109375" bestFit="1" customWidth="1"/>
    <col min="9" max="9" width="24.42578125" customWidth="1"/>
    <col min="10" max="10" width="16.710937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30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x14ac:dyDescent="0.25">
      <c r="B9" s="4">
        <v>1</v>
      </c>
      <c r="C9" s="4" t="s">
        <v>187</v>
      </c>
      <c r="D9" s="4" t="s">
        <v>188</v>
      </c>
      <c r="E9" s="8" t="s">
        <v>4</v>
      </c>
      <c r="F9" s="8" t="s">
        <v>316</v>
      </c>
      <c r="G9" s="8" t="s">
        <v>338</v>
      </c>
      <c r="H9" s="5" t="s">
        <v>403</v>
      </c>
      <c r="I9" s="5" t="s">
        <v>8</v>
      </c>
      <c r="J9" s="4" t="s">
        <v>264</v>
      </c>
    </row>
    <row r="10" spans="2:10" x14ac:dyDescent="0.25">
      <c r="B10" s="4">
        <v>2</v>
      </c>
      <c r="C10" s="4" t="s">
        <v>362</v>
      </c>
      <c r="D10" s="4" t="s">
        <v>189</v>
      </c>
      <c r="E10" s="8" t="s">
        <v>3</v>
      </c>
      <c r="F10" s="8" t="s">
        <v>92</v>
      </c>
      <c r="G10" s="8" t="s">
        <v>338</v>
      </c>
      <c r="H10" s="5" t="s">
        <v>91</v>
      </c>
      <c r="I10" s="5" t="s">
        <v>8</v>
      </c>
      <c r="J10" s="4" t="s">
        <v>263</v>
      </c>
    </row>
    <row r="11" spans="2:10" x14ac:dyDescent="0.25">
      <c r="B11" s="4">
        <v>3</v>
      </c>
      <c r="C11" s="4" t="s">
        <v>190</v>
      </c>
      <c r="D11" s="4" t="s">
        <v>363</v>
      </c>
      <c r="E11" s="8" t="s">
        <v>3</v>
      </c>
      <c r="F11" s="8" t="s">
        <v>5</v>
      </c>
      <c r="G11" s="8" t="s">
        <v>338</v>
      </c>
      <c r="H11" s="5" t="s">
        <v>31</v>
      </c>
      <c r="I11" s="5" t="s">
        <v>8</v>
      </c>
      <c r="J11" s="4" t="s">
        <v>260</v>
      </c>
    </row>
    <row r="12" spans="2:10" x14ac:dyDescent="0.25">
      <c r="B12" s="4">
        <v>4</v>
      </c>
      <c r="C12" s="4" t="s">
        <v>162</v>
      </c>
      <c r="D12" s="4" t="s">
        <v>191</v>
      </c>
      <c r="E12" s="8" t="s">
        <v>3</v>
      </c>
      <c r="F12" s="8" t="s">
        <v>320</v>
      </c>
      <c r="G12" s="8" t="s">
        <v>338</v>
      </c>
      <c r="H12" s="5" t="s">
        <v>31</v>
      </c>
      <c r="I12" s="5" t="s">
        <v>8</v>
      </c>
      <c r="J12" s="4" t="s">
        <v>262</v>
      </c>
    </row>
    <row r="13" spans="2:10" x14ac:dyDescent="0.25">
      <c r="B13" s="4">
        <v>5</v>
      </c>
      <c r="C13" s="4" t="s">
        <v>163</v>
      </c>
      <c r="D13" s="4" t="s">
        <v>364</v>
      </c>
      <c r="E13" s="8" t="s">
        <v>3</v>
      </c>
      <c r="F13" s="8" t="s">
        <v>92</v>
      </c>
      <c r="G13" s="8" t="s">
        <v>338</v>
      </c>
      <c r="H13" s="5" t="s">
        <v>31</v>
      </c>
      <c r="I13" s="5" t="s">
        <v>8</v>
      </c>
      <c r="J13" s="4" t="s">
        <v>262</v>
      </c>
    </row>
    <row r="14" spans="2:10" x14ac:dyDescent="0.25">
      <c r="B14" s="4">
        <v>6</v>
      </c>
      <c r="C14" s="4" t="s">
        <v>357</v>
      </c>
      <c r="D14" s="4" t="s">
        <v>192</v>
      </c>
      <c r="E14" s="8" t="s">
        <v>3</v>
      </c>
      <c r="F14" s="8" t="s">
        <v>320</v>
      </c>
      <c r="G14" s="8" t="s">
        <v>338</v>
      </c>
      <c r="H14" s="5" t="s">
        <v>31</v>
      </c>
      <c r="I14" s="5" t="s">
        <v>8</v>
      </c>
      <c r="J14" s="4" t="s">
        <v>262</v>
      </c>
    </row>
    <row r="15" spans="2:10" x14ac:dyDescent="0.25">
      <c r="B15" s="4">
        <v>7</v>
      </c>
      <c r="C15" s="4" t="s">
        <v>193</v>
      </c>
      <c r="D15" s="4" t="s">
        <v>194</v>
      </c>
      <c r="E15" s="8" t="s">
        <v>3</v>
      </c>
      <c r="F15" s="8" t="s">
        <v>320</v>
      </c>
      <c r="G15" s="8" t="s">
        <v>338</v>
      </c>
      <c r="H15" s="5" t="s">
        <v>403</v>
      </c>
      <c r="I15" s="5" t="s">
        <v>8</v>
      </c>
      <c r="J15" s="4" t="s">
        <v>262</v>
      </c>
    </row>
    <row r="16" spans="2:10" x14ac:dyDescent="0.25">
      <c r="B16" s="4">
        <v>8</v>
      </c>
      <c r="C16" s="4" t="s">
        <v>167</v>
      </c>
      <c r="D16" s="4" t="s">
        <v>195</v>
      </c>
      <c r="E16" s="8" t="s">
        <v>3</v>
      </c>
      <c r="F16" s="8" t="s">
        <v>320</v>
      </c>
      <c r="G16" s="8" t="s">
        <v>338</v>
      </c>
      <c r="H16" s="5" t="s">
        <v>403</v>
      </c>
      <c r="I16" s="5" t="s">
        <v>8</v>
      </c>
      <c r="J16" s="4" t="s">
        <v>260</v>
      </c>
    </row>
    <row r="17" spans="2:10" s="9" customFormat="1" x14ac:dyDescent="0.25">
      <c r="B17" s="4">
        <v>9</v>
      </c>
      <c r="C17" s="10" t="s">
        <v>170</v>
      </c>
      <c r="D17" s="10" t="s">
        <v>315</v>
      </c>
      <c r="E17" s="8" t="s">
        <v>3</v>
      </c>
      <c r="F17" s="8" t="s">
        <v>5</v>
      </c>
      <c r="G17" s="8" t="s">
        <v>338</v>
      </c>
      <c r="H17" s="5" t="s">
        <v>403</v>
      </c>
      <c r="I17" s="5" t="s">
        <v>29</v>
      </c>
      <c r="J17" s="10" t="s">
        <v>260</v>
      </c>
    </row>
    <row r="18" spans="2:10" s="9" customFormat="1" x14ac:dyDescent="0.25">
      <c r="B18" s="4">
        <v>10</v>
      </c>
      <c r="C18" s="10" t="s">
        <v>196</v>
      </c>
      <c r="D18" s="10" t="s">
        <v>197</v>
      </c>
      <c r="E18" s="8" t="s">
        <v>3</v>
      </c>
      <c r="F18" s="8" t="s">
        <v>320</v>
      </c>
      <c r="G18" s="8" t="s">
        <v>338</v>
      </c>
      <c r="H18" s="5" t="s">
        <v>403</v>
      </c>
      <c r="I18" s="5" t="s">
        <v>29</v>
      </c>
      <c r="J18" s="10" t="s">
        <v>263</v>
      </c>
    </row>
    <row r="19" spans="2:10" s="9" customFormat="1" x14ac:dyDescent="0.25">
      <c r="B19" s="4">
        <v>11</v>
      </c>
      <c r="C19" s="10" t="s">
        <v>185</v>
      </c>
      <c r="D19" s="10" t="s">
        <v>198</v>
      </c>
      <c r="E19" s="8" t="s">
        <v>3</v>
      </c>
      <c r="F19" s="8" t="s">
        <v>5</v>
      </c>
      <c r="G19" s="8" t="s">
        <v>338</v>
      </c>
      <c r="H19" s="5" t="s">
        <v>403</v>
      </c>
      <c r="I19" s="5" t="s">
        <v>29</v>
      </c>
      <c r="J19" s="10" t="s">
        <v>263</v>
      </c>
    </row>
    <row r="22" spans="2:10" x14ac:dyDescent="0.25">
      <c r="C22" s="3" t="s">
        <v>17</v>
      </c>
      <c r="D22" s="3" t="s">
        <v>20</v>
      </c>
      <c r="E22" s="3" t="s">
        <v>21</v>
      </c>
      <c r="F22" s="3" t="s">
        <v>8</v>
      </c>
      <c r="G22" s="2"/>
      <c r="H22" s="102" t="s">
        <v>392</v>
      </c>
      <c r="I22" s="102"/>
    </row>
    <row r="23" spans="2:10" x14ac:dyDescent="0.25">
      <c r="C23" s="4" t="s">
        <v>18</v>
      </c>
      <c r="D23" s="5">
        <f>COUNTIF($G9:$G19,"YES")</f>
        <v>11</v>
      </c>
      <c r="E23" s="5">
        <f>COUNTIFS($H9:$H19,"&lt;&gt;",$H9:$H19,"&lt;&gt;OPEN OFFICE/LIBREOFFICE")</f>
        <v>5</v>
      </c>
      <c r="F23" s="5">
        <f>COUNTIFS($I9:$I19,"CAL")</f>
        <v>8</v>
      </c>
      <c r="G23" s="15"/>
      <c r="H23" s="8" t="s">
        <v>107</v>
      </c>
      <c r="I23" s="8">
        <f>COUNTIF(H9:H19,"*2010")</f>
        <v>4</v>
      </c>
    </row>
    <row r="24" spans="2:10" x14ac:dyDescent="0.25">
      <c r="C24" s="4" t="s">
        <v>19</v>
      </c>
      <c r="D24" s="5">
        <f>COUNTIF($G9:$G19,"NO")</f>
        <v>0</v>
      </c>
      <c r="E24" s="5">
        <f>COUNTIFS($H9:$H19,"&lt;&gt;",$H9:$H19,"OPEN OFFICE/LIBREOFFICE")</f>
        <v>6</v>
      </c>
      <c r="F24" s="5">
        <f>COUNTIFS($I9:$I19,"NONE")</f>
        <v>3</v>
      </c>
      <c r="G24" s="15"/>
      <c r="H24" s="8" t="s">
        <v>108</v>
      </c>
      <c r="I24" s="8">
        <f>COUNTIF(H9:H19,"*2016")</f>
        <v>1</v>
      </c>
    </row>
    <row r="25" spans="2:10" x14ac:dyDescent="0.25">
      <c r="E25" s="32" t="s">
        <v>16</v>
      </c>
      <c r="F25" s="7">
        <f>COUNTIFS($I9:$I19,"EXCLUDED")</f>
        <v>0</v>
      </c>
      <c r="H25" s="8" t="s">
        <v>393</v>
      </c>
      <c r="I25" s="8">
        <f>COUNTIF(H9:H19,"*2021")</f>
        <v>0</v>
      </c>
    </row>
    <row r="26" spans="2:10" x14ac:dyDescent="0.25">
      <c r="H26" s="8" t="s">
        <v>394</v>
      </c>
      <c r="I26" s="8">
        <f>COUNTIF(H9:H19,"*2024")</f>
        <v>0</v>
      </c>
    </row>
    <row r="27" spans="2:10" x14ac:dyDescent="0.25">
      <c r="C27" s="97" t="s">
        <v>39</v>
      </c>
      <c r="D27" s="97"/>
      <c r="E27" s="97"/>
    </row>
    <row r="28" spans="2:10" x14ac:dyDescent="0.25">
      <c r="C28" s="4"/>
      <c r="D28" s="3" t="s">
        <v>4</v>
      </c>
      <c r="E28" s="3" t="s">
        <v>98</v>
      </c>
    </row>
    <row r="29" spans="2:10" x14ac:dyDescent="0.25">
      <c r="C29" s="27" t="s">
        <v>333</v>
      </c>
      <c r="D29" s="3"/>
      <c r="E29" s="3"/>
    </row>
    <row r="30" spans="2:10" x14ac:dyDescent="0.25">
      <c r="C30" s="8" t="s">
        <v>340</v>
      </c>
      <c r="D30" s="8">
        <f>COUNTIFS($E9:$E19,"LAPTOP",$F9:$F19,"*11*HOME*")</f>
        <v>1</v>
      </c>
      <c r="E30" s="8">
        <f>COUNTIFS($E9:$E19,"DESKTOP",$F9:$F19,"*11*HOME*")</f>
        <v>0</v>
      </c>
    </row>
    <row r="31" spans="2:10" x14ac:dyDescent="0.25">
      <c r="C31" s="8" t="s">
        <v>100</v>
      </c>
      <c r="D31" s="8">
        <f>COUNTIFS($E9:$E19,"LAPTOP",$F9:$F19,"*11*PRO*")</f>
        <v>0</v>
      </c>
      <c r="E31" s="8">
        <f>COUNTIFS($E9:$E19,"DESKTOP",$F9:$F19,"*11*PRO*")</f>
        <v>0</v>
      </c>
    </row>
    <row r="32" spans="2:10" x14ac:dyDescent="0.25">
      <c r="C32" s="27" t="s">
        <v>7</v>
      </c>
      <c r="D32" s="8"/>
      <c r="E32" s="8"/>
    </row>
    <row r="33" spans="3:5" x14ac:dyDescent="0.25">
      <c r="C33" s="8" t="s">
        <v>99</v>
      </c>
      <c r="D33" s="8">
        <f>COUNTIFS($E9:$E19,"LAPTOP",$F9:$F19,"*10*OEM*")</f>
        <v>0</v>
      </c>
      <c r="E33" s="8">
        <f>COUNTIFS($E9:$E19,"DESKTOP",$F9:$F19,"*10*OEM*")</f>
        <v>0</v>
      </c>
    </row>
    <row r="34" spans="3:5" x14ac:dyDescent="0.25">
      <c r="C34" s="8" t="s">
        <v>100</v>
      </c>
      <c r="D34" s="8">
        <f>COUNTIFS($E9:$E19,"LAPTOP",$F9:$F19,"*10*",$F9:$F19,"&lt;&gt;*OEM*")</f>
        <v>0</v>
      </c>
      <c r="E34" s="8">
        <f>COUNTIFS($E9:$E19,"DESKTOP",$F9:$F19,"*10*",$F9:$F19,"&lt;&gt;*OEM*")</f>
        <v>7</v>
      </c>
    </row>
    <row r="35" spans="3:5" x14ac:dyDescent="0.25">
      <c r="C35" s="27" t="s">
        <v>44</v>
      </c>
      <c r="D35" s="8"/>
      <c r="E35" s="8"/>
    </row>
    <row r="36" spans="3:5" x14ac:dyDescent="0.25">
      <c r="C36" s="5" t="s">
        <v>348</v>
      </c>
      <c r="D36" s="8">
        <f>COUNTIFS($E9:$E19,"LAPTOP",$F9:$F19,"*7*",$F9:$F19,"&lt;&gt;*GGWA*")</f>
        <v>0</v>
      </c>
      <c r="E36" s="8">
        <f>COUNTIFS($E9:$E19,"DESKTOP",$F9:$F19,"*7*",$F9:$F19,"&lt;&gt;*GGWA*")</f>
        <v>0</v>
      </c>
    </row>
    <row r="37" spans="3:5" x14ac:dyDescent="0.25">
      <c r="C37" s="8" t="s">
        <v>101</v>
      </c>
      <c r="D37" s="8">
        <f>COUNTIFS($E9:$E19,"LAPTOP",$F9:$F19,"*7*",$F9:$F19,"*GGWA*")</f>
        <v>0</v>
      </c>
      <c r="E37" s="8">
        <f>COUNTIFS($E9:$E19,"DESKTOP",$F9:$F19,"*7*",$F9:$F19,"*GGWA*")</f>
        <v>3</v>
      </c>
    </row>
    <row r="38" spans="3:5" x14ac:dyDescent="0.25">
      <c r="C38" s="97" t="s">
        <v>45</v>
      </c>
      <c r="D38" s="26">
        <f>SUM(D29:D37)</f>
        <v>1</v>
      </c>
      <c r="E38" s="26">
        <f>SUM(E29:E37)</f>
        <v>10</v>
      </c>
    </row>
    <row r="39" spans="3:5" x14ac:dyDescent="0.25">
      <c r="C39" s="97"/>
      <c r="D39" s="96">
        <f>D38+E38</f>
        <v>11</v>
      </c>
      <c r="E39" s="96"/>
    </row>
  </sheetData>
  <autoFilter ref="B8:J19" xr:uid="{00000000-0009-0000-0000-000004000000}">
    <filterColumn colId="0" showButton="0"/>
  </autoFilter>
  <mergeCells count="9">
    <mergeCell ref="C27:E27"/>
    <mergeCell ref="C38:C39"/>
    <mergeCell ref="D39:E39"/>
    <mergeCell ref="B2:I2"/>
    <mergeCell ref="B3:I3"/>
    <mergeCell ref="B4:I4"/>
    <mergeCell ref="B6:I6"/>
    <mergeCell ref="B8:C8"/>
    <mergeCell ref="H22:I22"/>
  </mergeCells>
  <dataValidations disablePrompts="1" count="2">
    <dataValidation type="list" allowBlank="1" showInputMessage="1" showErrorMessage="1" sqref="G9:G19" xr:uid="{00000000-0002-0000-0400-000000000000}">
      <formula1>"YES, NO"</formula1>
    </dataValidation>
    <dataValidation type="list" allowBlank="1" showInputMessage="1" showErrorMessage="1" sqref="E9:E19" xr:uid="{00000000-0002-0000-0400-000001000000}">
      <formula1>"Desktop, Laptop"</formula1>
    </dataValidation>
  </dataValidations>
  <pageMargins left="0.25" right="0.25" top="0.75" bottom="0.75" header="0.3" footer="0.3"/>
  <pageSetup scale="64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50"/>
  <sheetViews>
    <sheetView view="pageBreakPreview" zoomScale="85" zoomScaleNormal="100" zoomScaleSheetLayoutView="85" workbookViewId="0">
      <selection activeCell="F25" sqref="F25"/>
    </sheetView>
  </sheetViews>
  <sheetFormatPr defaultRowHeight="15" x14ac:dyDescent="0.25"/>
  <cols>
    <col min="1" max="1" width="2.7109375" customWidth="1"/>
    <col min="2" max="2" width="5.28515625" customWidth="1"/>
    <col min="3" max="3" width="39.5703125" customWidth="1"/>
    <col min="4" max="4" width="25.7109375" customWidth="1"/>
    <col min="5" max="5" width="21.28515625" style="1" customWidth="1"/>
    <col min="6" max="6" width="30.28515625" style="1" customWidth="1"/>
    <col min="7" max="7" width="13.85546875" style="1" bestFit="1" customWidth="1"/>
    <col min="8" max="8" width="24.7109375" bestFit="1" customWidth="1"/>
    <col min="9" max="9" width="22.7109375" customWidth="1"/>
    <col min="10" max="10" width="16.710937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35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ht="30" customHeight="1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ht="18" customHeight="1" x14ac:dyDescent="0.25">
      <c r="B9" s="4">
        <v>1</v>
      </c>
      <c r="C9" s="4" t="s">
        <v>199</v>
      </c>
      <c r="D9" s="4" t="s">
        <v>200</v>
      </c>
      <c r="E9" s="8" t="s">
        <v>4</v>
      </c>
      <c r="F9" s="8" t="s">
        <v>399</v>
      </c>
      <c r="G9" s="8" t="s">
        <v>338</v>
      </c>
      <c r="H9" s="5" t="s">
        <v>400</v>
      </c>
      <c r="I9" s="5" t="s">
        <v>8</v>
      </c>
      <c r="J9" s="4" t="s">
        <v>264</v>
      </c>
    </row>
    <row r="10" spans="2:10" x14ac:dyDescent="0.25">
      <c r="B10" s="4">
        <v>2</v>
      </c>
      <c r="C10" s="4" t="s">
        <v>158</v>
      </c>
      <c r="D10" s="4" t="s">
        <v>201</v>
      </c>
      <c r="E10" s="8" t="s">
        <v>3</v>
      </c>
      <c r="F10" s="8" t="s">
        <v>5</v>
      </c>
      <c r="G10" s="8" t="s">
        <v>338</v>
      </c>
      <c r="H10" s="5" t="s">
        <v>91</v>
      </c>
      <c r="I10" s="5" t="s">
        <v>8</v>
      </c>
      <c r="J10" s="4" t="s">
        <v>263</v>
      </c>
    </row>
    <row r="11" spans="2:10" x14ac:dyDescent="0.25">
      <c r="B11" s="4">
        <v>3</v>
      </c>
      <c r="C11" s="4" t="s">
        <v>159</v>
      </c>
      <c r="D11" s="4" t="s">
        <v>202</v>
      </c>
      <c r="E11" s="8" t="s">
        <v>3</v>
      </c>
      <c r="F11" s="8" t="s">
        <v>96</v>
      </c>
      <c r="G11" s="8" t="s">
        <v>338</v>
      </c>
      <c r="H11" s="5" t="s">
        <v>403</v>
      </c>
      <c r="I11" s="5" t="s">
        <v>8</v>
      </c>
      <c r="J11" s="4" t="s">
        <v>260</v>
      </c>
    </row>
    <row r="12" spans="2:10" x14ac:dyDescent="0.25">
      <c r="B12" s="4">
        <v>4</v>
      </c>
      <c r="C12" s="4" t="s">
        <v>27</v>
      </c>
      <c r="D12" s="4" t="s">
        <v>165</v>
      </c>
      <c r="E12" s="8" t="s">
        <v>3</v>
      </c>
      <c r="F12" s="8" t="s">
        <v>332</v>
      </c>
      <c r="G12" s="8" t="s">
        <v>338</v>
      </c>
      <c r="H12" s="5" t="s">
        <v>31</v>
      </c>
      <c r="I12" s="5" t="s">
        <v>8</v>
      </c>
      <c r="J12" s="4" t="s">
        <v>262</v>
      </c>
    </row>
    <row r="13" spans="2:10" x14ac:dyDescent="0.25">
      <c r="B13" s="4">
        <v>5</v>
      </c>
      <c r="C13" s="4" t="s">
        <v>246</v>
      </c>
      <c r="D13" s="4" t="s">
        <v>378</v>
      </c>
      <c r="E13" s="8" t="s">
        <v>3</v>
      </c>
      <c r="F13" s="8" t="s">
        <v>5</v>
      </c>
      <c r="G13" s="8" t="s">
        <v>338</v>
      </c>
      <c r="H13" s="5" t="s">
        <v>403</v>
      </c>
      <c r="I13" s="5" t="s">
        <v>29</v>
      </c>
      <c r="J13" s="4" t="s">
        <v>262</v>
      </c>
    </row>
    <row r="14" spans="2:10" x14ac:dyDescent="0.25">
      <c r="B14" s="4">
        <v>6</v>
      </c>
      <c r="C14" s="4" t="s">
        <v>379</v>
      </c>
      <c r="D14" s="4" t="s">
        <v>247</v>
      </c>
      <c r="E14" s="8" t="s">
        <v>3</v>
      </c>
      <c r="F14" s="8" t="s">
        <v>96</v>
      </c>
      <c r="G14" s="8" t="s">
        <v>338</v>
      </c>
      <c r="H14" s="5" t="s">
        <v>31</v>
      </c>
      <c r="I14" s="5" t="s">
        <v>8</v>
      </c>
      <c r="J14" s="4" t="s">
        <v>262</v>
      </c>
    </row>
    <row r="15" spans="2:10" x14ac:dyDescent="0.25">
      <c r="B15" s="4">
        <v>7</v>
      </c>
      <c r="C15" s="4" t="s">
        <v>380</v>
      </c>
      <c r="D15" s="4" t="s">
        <v>383</v>
      </c>
      <c r="E15" s="8" t="s">
        <v>3</v>
      </c>
      <c r="F15" s="8" t="s">
        <v>332</v>
      </c>
      <c r="G15" s="8" t="s">
        <v>338</v>
      </c>
      <c r="H15" s="5" t="s">
        <v>31</v>
      </c>
      <c r="I15" s="5" t="s">
        <v>8</v>
      </c>
      <c r="J15" s="4" t="s">
        <v>262</v>
      </c>
    </row>
    <row r="16" spans="2:10" x14ac:dyDescent="0.25">
      <c r="B16" s="4">
        <v>8</v>
      </c>
      <c r="C16" s="4" t="s">
        <v>297</v>
      </c>
      <c r="D16" s="4" t="s">
        <v>384</v>
      </c>
      <c r="E16" s="8" t="s">
        <v>3</v>
      </c>
      <c r="F16" s="8" t="s">
        <v>96</v>
      </c>
      <c r="G16" s="8" t="s">
        <v>338</v>
      </c>
      <c r="H16" s="5" t="s">
        <v>91</v>
      </c>
      <c r="I16" s="5"/>
      <c r="J16" s="4" t="s">
        <v>262</v>
      </c>
    </row>
    <row r="17" spans="2:10" x14ac:dyDescent="0.25">
      <c r="B17" s="4">
        <v>9</v>
      </c>
      <c r="C17" s="4" t="s">
        <v>167</v>
      </c>
      <c r="D17" s="4" t="s">
        <v>306</v>
      </c>
      <c r="E17" s="8" t="s">
        <v>3</v>
      </c>
      <c r="F17" s="8" t="s">
        <v>332</v>
      </c>
      <c r="G17" s="8" t="s">
        <v>338</v>
      </c>
      <c r="H17" s="5" t="s">
        <v>403</v>
      </c>
      <c r="I17" s="5" t="s">
        <v>8</v>
      </c>
      <c r="J17" s="4" t="s">
        <v>260</v>
      </c>
    </row>
    <row r="18" spans="2:10" s="9" customFormat="1" x14ac:dyDescent="0.25">
      <c r="B18" s="4">
        <v>10</v>
      </c>
      <c r="C18" s="10" t="s">
        <v>152</v>
      </c>
      <c r="D18" s="10" t="s">
        <v>204</v>
      </c>
      <c r="E18" s="8" t="s">
        <v>3</v>
      </c>
      <c r="F18" s="8" t="s">
        <v>96</v>
      </c>
      <c r="G18" s="8" t="s">
        <v>338</v>
      </c>
      <c r="H18" s="5" t="s">
        <v>31</v>
      </c>
      <c r="I18" s="5" t="s">
        <v>29</v>
      </c>
      <c r="J18" s="10" t="s">
        <v>260</v>
      </c>
    </row>
    <row r="19" spans="2:10" s="9" customFormat="1" x14ac:dyDescent="0.25">
      <c r="B19" s="4">
        <v>11</v>
      </c>
      <c r="C19" s="10" t="s">
        <v>319</v>
      </c>
      <c r="D19" s="10" t="s">
        <v>382</v>
      </c>
      <c r="E19" s="8" t="s">
        <v>3</v>
      </c>
      <c r="F19" s="8" t="s">
        <v>96</v>
      </c>
      <c r="G19" s="8" t="s">
        <v>338</v>
      </c>
      <c r="H19" s="5" t="s">
        <v>91</v>
      </c>
      <c r="I19" s="5" t="s">
        <v>8</v>
      </c>
      <c r="J19" s="10" t="s">
        <v>260</v>
      </c>
    </row>
    <row r="20" spans="2:10" s="9" customFormat="1" x14ac:dyDescent="0.25">
      <c r="B20" s="4">
        <v>12</v>
      </c>
      <c r="C20" s="10" t="s">
        <v>318</v>
      </c>
      <c r="D20" s="10" t="s">
        <v>205</v>
      </c>
      <c r="E20" s="8" t="s">
        <v>3</v>
      </c>
      <c r="F20" s="8" t="s">
        <v>96</v>
      </c>
      <c r="G20" s="8" t="s">
        <v>338</v>
      </c>
      <c r="H20" s="5" t="s">
        <v>91</v>
      </c>
      <c r="I20" s="5" t="s">
        <v>29</v>
      </c>
      <c r="J20" s="10" t="s">
        <v>260</v>
      </c>
    </row>
    <row r="21" spans="2:10" s="9" customFormat="1" x14ac:dyDescent="0.25">
      <c r="B21" s="4">
        <v>13</v>
      </c>
      <c r="C21" s="10" t="s">
        <v>207</v>
      </c>
      <c r="D21" s="10" t="s">
        <v>206</v>
      </c>
      <c r="E21" s="8" t="s">
        <v>3</v>
      </c>
      <c r="F21" s="8" t="s">
        <v>332</v>
      </c>
      <c r="G21" s="8" t="s">
        <v>338</v>
      </c>
      <c r="H21" s="5" t="s">
        <v>91</v>
      </c>
      <c r="I21" s="5" t="s">
        <v>8</v>
      </c>
      <c r="J21" s="10" t="s">
        <v>263</v>
      </c>
    </row>
    <row r="22" spans="2:10" s="9" customFormat="1" x14ac:dyDescent="0.25">
      <c r="B22" s="4">
        <v>14</v>
      </c>
      <c r="C22" s="10" t="s">
        <v>209</v>
      </c>
      <c r="D22" s="10" t="s">
        <v>208</v>
      </c>
      <c r="E22" s="8" t="s">
        <v>3</v>
      </c>
      <c r="F22" s="8" t="s">
        <v>5</v>
      </c>
      <c r="G22" s="8" t="s">
        <v>338</v>
      </c>
      <c r="H22" s="5" t="s">
        <v>403</v>
      </c>
      <c r="I22" s="5" t="s">
        <v>29</v>
      </c>
      <c r="J22" s="10" t="s">
        <v>263</v>
      </c>
    </row>
    <row r="23" spans="2:10" s="9" customFormat="1" x14ac:dyDescent="0.25">
      <c r="B23" s="4">
        <v>15</v>
      </c>
      <c r="C23" s="10" t="s">
        <v>209</v>
      </c>
      <c r="D23" s="10" t="s">
        <v>404</v>
      </c>
      <c r="E23" s="8" t="s">
        <v>3</v>
      </c>
      <c r="F23" s="8" t="s">
        <v>401</v>
      </c>
      <c r="G23" s="8" t="s">
        <v>338</v>
      </c>
      <c r="H23" s="5" t="s">
        <v>351</v>
      </c>
      <c r="I23" s="5" t="s">
        <v>29</v>
      </c>
      <c r="J23" s="10" t="s">
        <v>263</v>
      </c>
    </row>
    <row r="24" spans="2:10" s="9" customFormat="1" x14ac:dyDescent="0.25">
      <c r="B24" s="4">
        <v>16</v>
      </c>
      <c r="C24" s="10" t="s">
        <v>210</v>
      </c>
      <c r="D24" s="10" t="s">
        <v>212</v>
      </c>
      <c r="E24" s="8" t="s">
        <v>3</v>
      </c>
      <c r="F24" s="8" t="s">
        <v>5</v>
      </c>
      <c r="G24" s="8" t="s">
        <v>338</v>
      </c>
      <c r="H24" s="5" t="s">
        <v>403</v>
      </c>
      <c r="I24" s="5" t="s">
        <v>16</v>
      </c>
      <c r="J24" s="10" t="s">
        <v>260</v>
      </c>
    </row>
    <row r="25" spans="2:10" s="9" customFormat="1" x14ac:dyDescent="0.25">
      <c r="B25" s="4">
        <v>17</v>
      </c>
      <c r="C25" s="10" t="s">
        <v>211</v>
      </c>
      <c r="D25" s="10" t="s">
        <v>305</v>
      </c>
      <c r="E25" s="8" t="s">
        <v>3</v>
      </c>
      <c r="F25" s="8" t="s">
        <v>5</v>
      </c>
      <c r="G25" s="8" t="s">
        <v>338</v>
      </c>
      <c r="H25" s="5" t="s">
        <v>403</v>
      </c>
      <c r="I25" s="5" t="s">
        <v>16</v>
      </c>
      <c r="J25" s="10" t="s">
        <v>260</v>
      </c>
    </row>
    <row r="28" spans="2:10" x14ac:dyDescent="0.25">
      <c r="C28" s="3" t="s">
        <v>17</v>
      </c>
      <c r="D28" s="3" t="s">
        <v>20</v>
      </c>
      <c r="E28" s="3" t="s">
        <v>21</v>
      </c>
      <c r="F28" s="3" t="s">
        <v>8</v>
      </c>
      <c r="G28" s="2"/>
      <c r="H28" s="102" t="s">
        <v>392</v>
      </c>
      <c r="I28" s="102"/>
    </row>
    <row r="29" spans="2:10" x14ac:dyDescent="0.25">
      <c r="C29" s="4" t="s">
        <v>18</v>
      </c>
      <c r="D29" s="5">
        <f>COUNTIF($G9:$G25,"YES")</f>
        <v>17</v>
      </c>
      <c r="E29" s="5">
        <f>COUNTIFS($H9:$H25,"&lt;&gt;",$H9:$H25,"&lt;&gt;OPEN OFFICE/LIBREOFFICE")</f>
        <v>11</v>
      </c>
      <c r="F29" s="5">
        <f>COUNTIFS($I9:$I25,"CAL")</f>
        <v>9</v>
      </c>
      <c r="G29" s="15"/>
      <c r="H29" s="8" t="s">
        <v>107</v>
      </c>
      <c r="I29" s="8">
        <f>COUNTIF(H9:H25,"*2010")</f>
        <v>4</v>
      </c>
    </row>
    <row r="30" spans="2:10" x14ac:dyDescent="0.25">
      <c r="C30" s="4" t="s">
        <v>19</v>
      </c>
      <c r="D30" s="5">
        <f>COUNTIF($G9:$G25,"NO")</f>
        <v>0</v>
      </c>
      <c r="E30" s="5">
        <f>COUNTIFS($H9:$H25,"&lt;&gt;",$H9:$H25,"OPEN OFFICE/LIBREOFFICE")</f>
        <v>6</v>
      </c>
      <c r="F30" s="5">
        <f>COUNTIFS($I9:$I25,"NONE")</f>
        <v>5</v>
      </c>
      <c r="G30" s="15"/>
      <c r="H30" s="8" t="s">
        <v>108</v>
      </c>
      <c r="I30" s="8">
        <f>COUNTIF(H9:H25,"*2016")</f>
        <v>5</v>
      </c>
    </row>
    <row r="31" spans="2:10" x14ac:dyDescent="0.25">
      <c r="E31" s="6" t="s">
        <v>16</v>
      </c>
      <c r="F31" s="7">
        <f>COUNTIFS($I9:$I25,"EXCLUDED")</f>
        <v>2</v>
      </c>
      <c r="H31" s="8" t="s">
        <v>393</v>
      </c>
      <c r="I31" s="8">
        <f>COUNTIF(H9:H25,"*2021")</f>
        <v>0</v>
      </c>
    </row>
    <row r="32" spans="2:10" x14ac:dyDescent="0.25">
      <c r="H32" s="8" t="s">
        <v>394</v>
      </c>
      <c r="I32" s="8">
        <f>COUNTIF(H9:H25,"*2024")</f>
        <v>1</v>
      </c>
    </row>
    <row r="33" spans="3:9" x14ac:dyDescent="0.25">
      <c r="H33" s="8" t="s">
        <v>400</v>
      </c>
      <c r="I33" s="8">
        <f>COUNTIF(H9:H25,"*365")</f>
        <v>1</v>
      </c>
    </row>
    <row r="34" spans="3:9" x14ac:dyDescent="0.25">
      <c r="C34" s="97" t="s">
        <v>39</v>
      </c>
      <c r="D34" s="97"/>
      <c r="E34" s="97"/>
    </row>
    <row r="35" spans="3:9" x14ac:dyDescent="0.25">
      <c r="C35" s="4"/>
      <c r="D35" s="3" t="s">
        <v>4</v>
      </c>
      <c r="E35" s="3" t="s">
        <v>98</v>
      </c>
    </row>
    <row r="36" spans="3:9" x14ac:dyDescent="0.25">
      <c r="C36" s="4" t="s">
        <v>333</v>
      </c>
      <c r="D36" s="5"/>
      <c r="E36" s="5"/>
    </row>
    <row r="37" spans="3:9" x14ac:dyDescent="0.25">
      <c r="C37" s="8" t="s">
        <v>340</v>
      </c>
      <c r="D37" s="5">
        <f>COUNTIFS($E9:$E25,"LAPTOP",$F9:$F25,"*11*HOME*")</f>
        <v>0</v>
      </c>
      <c r="E37" s="5">
        <f>COUNTIFS($E9:$E25,"DESKTOP",$F9:$F25,"*11*HOME*")</f>
        <v>0</v>
      </c>
    </row>
    <row r="38" spans="3:9" x14ac:dyDescent="0.25">
      <c r="C38" s="8" t="s">
        <v>100</v>
      </c>
      <c r="D38" s="5">
        <f>COUNTIFS($E9:$E25,"LAPTOP",$F9:$F25,"*11*PRO*")</f>
        <v>0</v>
      </c>
      <c r="E38" s="5">
        <f>COUNTIFS($E9:$E25,"DESKTOP",$F9:$F25,"*11*PRO*")</f>
        <v>5</v>
      </c>
    </row>
    <row r="39" spans="3:9" x14ac:dyDescent="0.25">
      <c r="C39" s="27" t="s">
        <v>7</v>
      </c>
      <c r="D39" s="8"/>
      <c r="E39" s="8"/>
    </row>
    <row r="40" spans="3:9" x14ac:dyDescent="0.25">
      <c r="C40" s="8" t="s">
        <v>99</v>
      </c>
      <c r="D40" s="8">
        <f>COUNTIFS($E9:$E25,"LAPTOP",$F9:$F25,"*10*OEM*")</f>
        <v>0</v>
      </c>
      <c r="E40" s="8">
        <f>COUNTIFS($E9:$E25,"DESKTOP",$F9:$F25,"*10*OEM*")</f>
        <v>0</v>
      </c>
    </row>
    <row r="41" spans="3:9" x14ac:dyDescent="0.25">
      <c r="C41" s="8" t="s">
        <v>100</v>
      </c>
      <c r="D41" s="8">
        <f>COUNTIFS($E9:$E25,"LAPTOP",$F9:$F25,"*10*",$F9:$F25,"&lt;&gt;*OEM*")</f>
        <v>0</v>
      </c>
      <c r="E41" s="8">
        <f>COUNTIFS($E9:$E25,"DESKTOP",$F9:$F25,"*10*",$F9:$F25,"&lt;&gt;*OEM*")</f>
        <v>6</v>
      </c>
    </row>
    <row r="42" spans="3:9" x14ac:dyDescent="0.25">
      <c r="C42" s="27" t="s">
        <v>44</v>
      </c>
      <c r="D42" s="8"/>
      <c r="E42" s="8"/>
      <c r="F42" s="12" t="s">
        <v>104</v>
      </c>
      <c r="G42" s="12"/>
      <c r="H42" s="1"/>
    </row>
    <row r="43" spans="3:9" x14ac:dyDescent="0.25">
      <c r="C43" s="8" t="s">
        <v>101</v>
      </c>
      <c r="D43" s="8">
        <f>COUNTIFS($E9:$E25,"LAPTOP",$F9:$F25,"*7*",$F9:$F25,"*GGWA*")</f>
        <v>0</v>
      </c>
      <c r="E43" s="8">
        <f>COUNTIFS($E9:$E25,"DESKTOP",$F9:$F25,"*7*",$F9:$F25,"*GGWA*")</f>
        <v>5</v>
      </c>
      <c r="F43" s="12" t="s">
        <v>375</v>
      </c>
      <c r="G43" s="12"/>
      <c r="H43" s="1"/>
    </row>
    <row r="44" spans="3:9" x14ac:dyDescent="0.25">
      <c r="C44" s="97" t="s">
        <v>45</v>
      </c>
      <c r="D44" s="26">
        <f>SUM(D36:D43)</f>
        <v>0</v>
      </c>
      <c r="E44" s="26">
        <f>SUM(E36:E43)</f>
        <v>16</v>
      </c>
      <c r="H44" s="103"/>
      <c r="I44" s="103"/>
    </row>
    <row r="45" spans="3:9" x14ac:dyDescent="0.25">
      <c r="C45" s="97"/>
      <c r="D45" s="96">
        <f>D44+E44</f>
        <v>16</v>
      </c>
      <c r="E45" s="96"/>
      <c r="H45" s="12"/>
      <c r="I45" s="1"/>
    </row>
    <row r="46" spans="3:9" x14ac:dyDescent="0.25">
      <c r="H46" s="12"/>
      <c r="I46" s="1"/>
    </row>
    <row r="47" spans="3:9" x14ac:dyDescent="0.25">
      <c r="H47" s="12"/>
      <c r="I47" s="1"/>
    </row>
    <row r="48" spans="3:9" x14ac:dyDescent="0.25">
      <c r="H48" s="12"/>
      <c r="I48" s="1"/>
    </row>
    <row r="49" spans="8:9" x14ac:dyDescent="0.25">
      <c r="H49" s="12"/>
      <c r="I49" s="1"/>
    </row>
    <row r="50" spans="8:9" x14ac:dyDescent="0.25">
      <c r="H50" s="29"/>
      <c r="I50" s="29"/>
    </row>
  </sheetData>
  <autoFilter ref="B8:J25" xr:uid="{00000000-0009-0000-0000-000005000000}">
    <filterColumn colId="0" showButton="0"/>
  </autoFilter>
  <mergeCells count="10">
    <mergeCell ref="H44:I44"/>
    <mergeCell ref="B2:I2"/>
    <mergeCell ref="B3:I3"/>
    <mergeCell ref="B4:I4"/>
    <mergeCell ref="B6:I6"/>
    <mergeCell ref="B8:C8"/>
    <mergeCell ref="C34:E34"/>
    <mergeCell ref="C44:C45"/>
    <mergeCell ref="D45:E45"/>
    <mergeCell ref="H28:I28"/>
  </mergeCells>
  <phoneticPr fontId="8" type="noConversion"/>
  <dataValidations count="2">
    <dataValidation type="list" allowBlank="1" showInputMessage="1" showErrorMessage="1" sqref="G9:G25" xr:uid="{00000000-0002-0000-0500-000000000000}">
      <formula1>"YES, NO"</formula1>
    </dataValidation>
    <dataValidation type="list" allowBlank="1" showInputMessage="1" showErrorMessage="1" sqref="E9:E25" xr:uid="{00000000-0002-0000-0500-000001000000}">
      <formula1>"Desktop, Laptop"</formula1>
    </dataValidation>
  </dataValidations>
  <pageMargins left="0.25" right="0.25" top="0.75" bottom="0.75" header="0.3" footer="0.3"/>
  <pageSetup scale="6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40"/>
  <sheetViews>
    <sheetView view="pageBreakPreview" zoomScale="85" zoomScaleNormal="100" zoomScaleSheetLayoutView="85" workbookViewId="0">
      <selection activeCell="J31" sqref="J31"/>
    </sheetView>
  </sheetViews>
  <sheetFormatPr defaultRowHeight="15" x14ac:dyDescent="0.25"/>
  <cols>
    <col min="1" max="1" width="2.7109375" customWidth="1"/>
    <col min="2" max="2" width="5.28515625" customWidth="1"/>
    <col min="3" max="3" width="40.28515625" customWidth="1"/>
    <col min="4" max="4" width="26.7109375" customWidth="1"/>
    <col min="5" max="5" width="20.7109375" style="1" customWidth="1"/>
    <col min="6" max="6" width="23.7109375" style="1" customWidth="1"/>
    <col min="7" max="7" width="14.28515625" style="1" bestFit="1" customWidth="1"/>
    <col min="8" max="8" width="24.7109375" bestFit="1" customWidth="1"/>
    <col min="9" max="9" width="19.5703125" customWidth="1"/>
    <col min="10" max="10" width="14.57031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36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ht="51" customHeight="1" x14ac:dyDescent="0.25">
      <c r="B8" s="43"/>
      <c r="C8" s="42" t="s">
        <v>9</v>
      </c>
      <c r="D8" s="42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x14ac:dyDescent="0.25">
      <c r="B9" s="44">
        <v>1</v>
      </c>
      <c r="C9" s="44" t="s">
        <v>213</v>
      </c>
      <c r="D9" s="4" t="s">
        <v>214</v>
      </c>
      <c r="E9" s="8" t="s">
        <v>4</v>
      </c>
      <c r="F9" s="8" t="s">
        <v>323</v>
      </c>
      <c r="G9" s="8" t="s">
        <v>338</v>
      </c>
      <c r="H9" s="5" t="s">
        <v>403</v>
      </c>
      <c r="I9" s="5" t="s">
        <v>8</v>
      </c>
      <c r="J9" s="4" t="s">
        <v>264</v>
      </c>
    </row>
    <row r="10" spans="2:10" x14ac:dyDescent="0.25">
      <c r="B10" s="4">
        <v>2</v>
      </c>
      <c r="C10" s="4" t="s">
        <v>311</v>
      </c>
      <c r="D10" s="4" t="s">
        <v>309</v>
      </c>
      <c r="E10" s="8" t="s">
        <v>3</v>
      </c>
      <c r="F10" s="8" t="s">
        <v>322</v>
      </c>
      <c r="G10" s="8" t="s">
        <v>338</v>
      </c>
      <c r="H10" s="5" t="s">
        <v>91</v>
      </c>
      <c r="I10" s="5" t="s">
        <v>29</v>
      </c>
      <c r="J10" s="4" t="s">
        <v>263</v>
      </c>
    </row>
    <row r="11" spans="2:10" x14ac:dyDescent="0.25">
      <c r="B11" s="4">
        <v>3</v>
      </c>
      <c r="C11" s="4" t="s">
        <v>190</v>
      </c>
      <c r="D11" s="4" t="s">
        <v>215</v>
      </c>
      <c r="E11" s="8" t="s">
        <v>3</v>
      </c>
      <c r="F11" s="8" t="s">
        <v>324</v>
      </c>
      <c r="G11" s="8" t="s">
        <v>338</v>
      </c>
      <c r="H11" s="5" t="s">
        <v>31</v>
      </c>
      <c r="I11" s="5" t="s">
        <v>8</v>
      </c>
      <c r="J11" s="4" t="s">
        <v>260</v>
      </c>
    </row>
    <row r="12" spans="2:10" x14ac:dyDescent="0.25">
      <c r="B12" s="4">
        <v>4</v>
      </c>
      <c r="C12" s="4" t="s">
        <v>26</v>
      </c>
      <c r="D12" s="4" t="s">
        <v>310</v>
      </c>
      <c r="E12" s="8" t="s">
        <v>3</v>
      </c>
      <c r="F12" s="8" t="s">
        <v>321</v>
      </c>
      <c r="G12" s="8" t="s">
        <v>338</v>
      </c>
      <c r="H12" s="5" t="s">
        <v>31</v>
      </c>
      <c r="I12" s="5" t="s">
        <v>8</v>
      </c>
      <c r="J12" s="4" t="s">
        <v>262</v>
      </c>
    </row>
    <row r="13" spans="2:10" x14ac:dyDescent="0.25">
      <c r="B13" s="4">
        <v>5</v>
      </c>
      <c r="C13" s="4" t="s">
        <v>37</v>
      </c>
      <c r="D13" s="4" t="s">
        <v>216</v>
      </c>
      <c r="E13" s="8" t="s">
        <v>3</v>
      </c>
      <c r="F13" s="8" t="s">
        <v>322</v>
      </c>
      <c r="G13" s="8" t="s">
        <v>338</v>
      </c>
      <c r="H13" s="5" t="s">
        <v>31</v>
      </c>
      <c r="I13" s="5" t="s">
        <v>8</v>
      </c>
      <c r="J13" s="4" t="s">
        <v>262</v>
      </c>
    </row>
    <row r="14" spans="2:10" x14ac:dyDescent="0.25">
      <c r="B14" s="4">
        <v>6</v>
      </c>
      <c r="C14" s="4" t="s">
        <v>297</v>
      </c>
      <c r="D14" s="4" t="s">
        <v>312</v>
      </c>
      <c r="E14" s="8" t="s">
        <v>3</v>
      </c>
      <c r="F14" s="8" t="s">
        <v>329</v>
      </c>
      <c r="G14" s="8" t="s">
        <v>338</v>
      </c>
      <c r="H14" s="5" t="s">
        <v>403</v>
      </c>
      <c r="I14" s="5" t="s">
        <v>29</v>
      </c>
      <c r="J14" s="4" t="s">
        <v>313</v>
      </c>
    </row>
    <row r="15" spans="2:10" ht="16.5" customHeight="1" x14ac:dyDescent="0.25">
      <c r="B15" s="4">
        <v>7</v>
      </c>
      <c r="C15" s="4" t="s">
        <v>28</v>
      </c>
      <c r="D15" s="4" t="s">
        <v>307</v>
      </c>
      <c r="E15" s="8" t="s">
        <v>3</v>
      </c>
      <c r="F15" s="8" t="s">
        <v>325</v>
      </c>
      <c r="G15" s="8" t="s">
        <v>338</v>
      </c>
      <c r="H15" s="5" t="s">
        <v>403</v>
      </c>
      <c r="I15" s="5" t="s">
        <v>8</v>
      </c>
      <c r="J15" s="4" t="s">
        <v>260</v>
      </c>
    </row>
    <row r="16" spans="2:10" s="9" customFormat="1" x14ac:dyDescent="0.25">
      <c r="B16" s="4">
        <v>8</v>
      </c>
      <c r="C16" s="10" t="s">
        <v>170</v>
      </c>
      <c r="D16" s="10" t="s">
        <v>217</v>
      </c>
      <c r="E16" s="8" t="s">
        <v>3</v>
      </c>
      <c r="F16" s="8" t="s">
        <v>321</v>
      </c>
      <c r="G16" s="8" t="s">
        <v>338</v>
      </c>
      <c r="H16" s="5" t="s">
        <v>403</v>
      </c>
      <c r="I16" s="5" t="s">
        <v>29</v>
      </c>
      <c r="J16" s="10" t="s">
        <v>260</v>
      </c>
    </row>
    <row r="17" spans="2:10" s="9" customFormat="1" ht="16.5" customHeight="1" x14ac:dyDescent="0.25">
      <c r="B17" s="4">
        <v>9</v>
      </c>
      <c r="C17" s="10" t="s">
        <v>185</v>
      </c>
      <c r="D17" s="10" t="s">
        <v>308</v>
      </c>
      <c r="E17" s="8" t="s">
        <v>3</v>
      </c>
      <c r="F17" s="8" t="s">
        <v>321</v>
      </c>
      <c r="G17" s="8" t="s">
        <v>338</v>
      </c>
      <c r="H17" s="5" t="s">
        <v>403</v>
      </c>
      <c r="I17" s="5" t="s">
        <v>29</v>
      </c>
      <c r="J17" s="10" t="s">
        <v>263</v>
      </c>
    </row>
    <row r="20" spans="2:10" x14ac:dyDescent="0.25">
      <c r="C20" s="3" t="s">
        <v>17</v>
      </c>
      <c r="D20" s="3" t="s">
        <v>20</v>
      </c>
      <c r="E20" s="3" t="s">
        <v>21</v>
      </c>
      <c r="F20" s="3" t="s">
        <v>8</v>
      </c>
      <c r="G20" s="2"/>
      <c r="H20" s="102" t="s">
        <v>392</v>
      </c>
      <c r="I20" s="102"/>
    </row>
    <row r="21" spans="2:10" x14ac:dyDescent="0.25">
      <c r="C21" s="4" t="s">
        <v>18</v>
      </c>
      <c r="D21" s="5">
        <f>COUNTIF($G9:$G17,"YES")</f>
        <v>9</v>
      </c>
      <c r="E21" s="5">
        <f>COUNTIFS($H9:$H17,"&lt;&gt;",$H9:$H17,"&lt;&gt;OPEN OFFICE/LIBREOFFICE")</f>
        <v>4</v>
      </c>
      <c r="F21" s="5">
        <f>COUNTIFS($I9:$I17,"CAL")</f>
        <v>5</v>
      </c>
      <c r="G21" s="15"/>
      <c r="H21" s="8" t="s">
        <v>107</v>
      </c>
      <c r="I21" s="8">
        <f>COUNTIF(H9:H17,"*2010")</f>
        <v>3</v>
      </c>
    </row>
    <row r="22" spans="2:10" x14ac:dyDescent="0.25">
      <c r="C22" s="4" t="s">
        <v>19</v>
      </c>
      <c r="D22" s="5">
        <f>COUNTIF($G9:$G17,"NO")</f>
        <v>0</v>
      </c>
      <c r="E22" s="5">
        <f>COUNTIFS($H9:$H17,"&lt;&gt;",$H9:$H17,"OPEN OFFICE/LIBREOFFICE")</f>
        <v>5</v>
      </c>
      <c r="F22" s="5">
        <f>COUNTIFS($I9:$I17,"NONE")</f>
        <v>4</v>
      </c>
      <c r="G22" s="15"/>
      <c r="H22" s="8" t="s">
        <v>108</v>
      </c>
      <c r="I22" s="8">
        <f>COUNTIF(H9:H17,"*2016")</f>
        <v>1</v>
      </c>
    </row>
    <row r="23" spans="2:10" x14ac:dyDescent="0.25">
      <c r="E23" s="6" t="s">
        <v>16</v>
      </c>
      <c r="F23" s="7">
        <f>COUNTIFS($I9:$I17,"EXCLUDED")</f>
        <v>0</v>
      </c>
      <c r="H23" s="8" t="s">
        <v>393</v>
      </c>
      <c r="I23" s="8">
        <f>COUNTIF(H9:H17,"*2021")</f>
        <v>0</v>
      </c>
    </row>
    <row r="24" spans="2:10" x14ac:dyDescent="0.25">
      <c r="H24" s="8" t="s">
        <v>394</v>
      </c>
      <c r="I24" s="8">
        <f>COUNTIF(H9:H17,"*2024")</f>
        <v>0</v>
      </c>
    </row>
    <row r="26" spans="2:10" x14ac:dyDescent="0.25">
      <c r="C26" s="97" t="s">
        <v>39</v>
      </c>
      <c r="D26" s="97"/>
      <c r="E26" s="97"/>
    </row>
    <row r="27" spans="2:10" x14ac:dyDescent="0.25">
      <c r="C27" s="4"/>
      <c r="D27" s="3" t="s">
        <v>4</v>
      </c>
      <c r="E27" s="3" t="s">
        <v>98</v>
      </c>
    </row>
    <row r="28" spans="2:10" x14ac:dyDescent="0.25">
      <c r="C28" s="4" t="s">
        <v>333</v>
      </c>
      <c r="D28" s="3"/>
      <c r="E28" s="3"/>
    </row>
    <row r="29" spans="2:10" x14ac:dyDescent="0.25">
      <c r="C29" s="5" t="s">
        <v>340</v>
      </c>
      <c r="D29" s="5">
        <f>COUNTIFS($E9:$E17,"LAPTOP",$F9:$F17,"*11*HOME*")</f>
        <v>1</v>
      </c>
      <c r="E29" s="5">
        <f>COUNTIFS($E9:$E17,"DESKTOP",$F9:$F17,"*11*HOME*")</f>
        <v>0</v>
      </c>
    </row>
    <row r="30" spans="2:10" x14ac:dyDescent="0.25">
      <c r="C30" s="5" t="s">
        <v>100</v>
      </c>
      <c r="D30" s="5">
        <f>COUNTIFS($E9:$E17,"LAPTOP",$F9:$F17,"*11*PRO*")</f>
        <v>0</v>
      </c>
      <c r="E30" s="5">
        <f>COUNTIFS($E9:$E17,"DESKTOP",$F9:$F17,"*11*PRO*")</f>
        <v>1</v>
      </c>
    </row>
    <row r="31" spans="2:10" x14ac:dyDescent="0.25">
      <c r="C31" s="27" t="s">
        <v>7</v>
      </c>
      <c r="D31" s="8"/>
      <c r="E31" s="8"/>
    </row>
    <row r="32" spans="2:10" x14ac:dyDescent="0.25">
      <c r="C32" s="8" t="s">
        <v>99</v>
      </c>
      <c r="D32" s="8">
        <f>COUNTIFS($E9:$E17,"LAPTOP",$F9:$F17,"*10*OEM*")</f>
        <v>0</v>
      </c>
      <c r="E32" s="8">
        <f>COUNTIFS($E9:$E17,"DESKTOP",$F9:$F17,"*10*OEM*")</f>
        <v>0</v>
      </c>
    </row>
    <row r="33" spans="3:9" x14ac:dyDescent="0.25">
      <c r="C33" s="8" t="s">
        <v>100</v>
      </c>
      <c r="D33" s="8">
        <f>COUNTIFS($E9:$E17,"LAPTOP",$F9:$F17,"*10*",$F9:$F17,"&lt;&gt;*OEM*")</f>
        <v>0</v>
      </c>
      <c r="E33" s="8">
        <f>COUNTIFS($E9:$E17,"DESKTOP",$F9:$F17,"*10*",$F9:$F17,"&lt;&gt;*OEM*")</f>
        <v>3</v>
      </c>
      <c r="H33" s="13"/>
      <c r="I33" s="13"/>
    </row>
    <row r="34" spans="3:9" x14ac:dyDescent="0.25">
      <c r="C34" s="27" t="s">
        <v>44</v>
      </c>
      <c r="D34" s="8"/>
      <c r="E34" s="8"/>
      <c r="H34" s="12"/>
      <c r="I34" s="1"/>
    </row>
    <row r="35" spans="3:9" x14ac:dyDescent="0.25">
      <c r="C35" s="5" t="s">
        <v>105</v>
      </c>
      <c r="D35" s="8">
        <f>COUNTIFS($E9:$E17,"LAPTOP",$F9:$F17,"*7*",$F9:$F17,"&lt;&gt;*GGWA*")</f>
        <v>0</v>
      </c>
      <c r="E35" s="8">
        <f>COUNTIFS($E9:$E17,"DESKTOP",$F9:$F17,"*7*",$F9:$F17,"&lt;&gt;*GGWA*")</f>
        <v>1</v>
      </c>
      <c r="H35" s="12"/>
      <c r="I35" s="1"/>
    </row>
    <row r="36" spans="3:9" x14ac:dyDescent="0.25">
      <c r="C36" s="8" t="s">
        <v>101</v>
      </c>
      <c r="D36" s="8">
        <f>COUNTIFS($E9:$E17,"LAPTOP",$F9:$F17,"*7*",$F9:$F17,"*GGWA*")</f>
        <v>0</v>
      </c>
      <c r="E36" s="8">
        <f>COUNTIFS($E9:$E17,"DESKTOP",$F9:$F17,"*7*",$F9:$F17,"*GGWA*")</f>
        <v>3</v>
      </c>
      <c r="H36" s="12"/>
      <c r="I36" s="1"/>
    </row>
    <row r="37" spans="3:9" x14ac:dyDescent="0.25">
      <c r="C37" s="97" t="s">
        <v>45</v>
      </c>
      <c r="D37" s="26">
        <f>SUM(D28:D36)</f>
        <v>1</v>
      </c>
      <c r="E37" s="26">
        <f>SUM(E28:E36)</f>
        <v>8</v>
      </c>
      <c r="H37" s="12"/>
      <c r="I37" s="1"/>
    </row>
    <row r="38" spans="3:9" x14ac:dyDescent="0.25">
      <c r="C38" s="97"/>
      <c r="D38" s="96">
        <f>D37+E37</f>
        <v>9</v>
      </c>
      <c r="E38" s="96"/>
      <c r="H38" s="12"/>
      <c r="I38" s="1"/>
    </row>
    <row r="39" spans="3:9" x14ac:dyDescent="0.25">
      <c r="H39" s="12"/>
      <c r="I39" s="1"/>
    </row>
    <row r="40" spans="3:9" x14ac:dyDescent="0.25">
      <c r="H40" s="29"/>
      <c r="I40" s="29"/>
    </row>
  </sheetData>
  <autoFilter ref="B8:J17" xr:uid="{00000000-0009-0000-0000-000006000000}">
    <filterColumn colId="0" showButton="0"/>
  </autoFilter>
  <mergeCells count="8">
    <mergeCell ref="C37:C38"/>
    <mergeCell ref="D38:E38"/>
    <mergeCell ref="B2:I2"/>
    <mergeCell ref="B3:I3"/>
    <mergeCell ref="B4:I4"/>
    <mergeCell ref="B6:I6"/>
    <mergeCell ref="C26:E26"/>
    <mergeCell ref="H20:I20"/>
  </mergeCells>
  <dataValidations count="2">
    <dataValidation type="list" allowBlank="1" showInputMessage="1" showErrorMessage="1" sqref="G9:G17" xr:uid="{00000000-0002-0000-0600-000000000000}">
      <formula1>"YES, NO"</formula1>
    </dataValidation>
    <dataValidation type="list" allowBlank="1" showInputMessage="1" showErrorMessage="1" sqref="E9:E17" xr:uid="{00000000-0002-0000-0600-000001000000}">
      <formula1>"Desktop, Laptop"</formula1>
    </dataValidation>
  </dataValidations>
  <pageMargins left="0.25" right="0.25" top="0.75" bottom="0.75" header="0.3" footer="0.3"/>
  <pageSetup scale="6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39"/>
  <sheetViews>
    <sheetView view="pageBreakPreview" zoomScale="85" zoomScaleNormal="100" zoomScaleSheetLayoutView="85" workbookViewId="0">
      <selection activeCell="F30" sqref="F30"/>
    </sheetView>
  </sheetViews>
  <sheetFormatPr defaultRowHeight="15" x14ac:dyDescent="0.25"/>
  <cols>
    <col min="1" max="1" width="2.7109375" customWidth="1"/>
    <col min="2" max="2" width="5.28515625" customWidth="1"/>
    <col min="3" max="3" width="44.42578125" customWidth="1"/>
    <col min="4" max="4" width="26.7109375" customWidth="1"/>
    <col min="5" max="5" width="24.42578125" style="1" customWidth="1"/>
    <col min="6" max="6" width="29.28515625" style="1" customWidth="1"/>
    <col min="7" max="7" width="13.85546875" style="1" bestFit="1" customWidth="1"/>
    <col min="8" max="8" width="24.7109375" bestFit="1" customWidth="1"/>
    <col min="9" max="9" width="25" customWidth="1"/>
    <col min="10" max="10" width="15.285156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129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ht="24.75" customHeight="1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x14ac:dyDescent="0.25">
      <c r="B9" s="4">
        <v>1</v>
      </c>
      <c r="C9" s="4" t="s">
        <v>296</v>
      </c>
      <c r="D9" s="4" t="s">
        <v>157</v>
      </c>
      <c r="E9" s="8" t="s">
        <v>3</v>
      </c>
      <c r="F9" s="8" t="s">
        <v>106</v>
      </c>
      <c r="G9" s="8" t="s">
        <v>338</v>
      </c>
      <c r="H9" s="5" t="s">
        <v>403</v>
      </c>
      <c r="I9" s="5" t="s">
        <v>16</v>
      </c>
      <c r="J9" s="4" t="s">
        <v>263</v>
      </c>
    </row>
    <row r="10" spans="2:10" x14ac:dyDescent="0.25">
      <c r="B10" s="4">
        <v>2</v>
      </c>
      <c r="C10" s="4" t="s">
        <v>218</v>
      </c>
      <c r="D10" s="4" t="s">
        <v>168</v>
      </c>
      <c r="E10" s="8" t="s">
        <v>3</v>
      </c>
      <c r="F10" s="8" t="s">
        <v>5</v>
      </c>
      <c r="G10" s="8" t="s">
        <v>338</v>
      </c>
      <c r="H10" s="5" t="s">
        <v>403</v>
      </c>
      <c r="I10" s="5" t="s">
        <v>16</v>
      </c>
      <c r="J10" s="4" t="s">
        <v>260</v>
      </c>
    </row>
    <row r="11" spans="2:10" x14ac:dyDescent="0.25">
      <c r="B11" s="4">
        <v>3</v>
      </c>
      <c r="C11" s="4" t="s">
        <v>170</v>
      </c>
      <c r="D11" s="4" t="s">
        <v>387</v>
      </c>
      <c r="E11" s="8" t="s">
        <v>3</v>
      </c>
      <c r="F11" s="8" t="s">
        <v>5</v>
      </c>
      <c r="G11" s="8" t="s">
        <v>338</v>
      </c>
      <c r="H11" s="5" t="s">
        <v>403</v>
      </c>
      <c r="I11" s="5" t="s">
        <v>16</v>
      </c>
      <c r="J11" s="4" t="s">
        <v>260</v>
      </c>
    </row>
    <row r="12" spans="2:10" x14ac:dyDescent="0.25">
      <c r="B12" s="4">
        <v>4</v>
      </c>
      <c r="C12" s="4" t="s">
        <v>219</v>
      </c>
      <c r="D12" s="4" t="s">
        <v>298</v>
      </c>
      <c r="E12" s="8" t="s">
        <v>3</v>
      </c>
      <c r="F12" s="8" t="s">
        <v>5</v>
      </c>
      <c r="G12" s="8" t="s">
        <v>338</v>
      </c>
      <c r="H12" s="5" t="s">
        <v>403</v>
      </c>
      <c r="I12" s="5" t="s">
        <v>16</v>
      </c>
      <c r="J12" s="4" t="s">
        <v>262</v>
      </c>
    </row>
    <row r="13" spans="2:10" x14ac:dyDescent="0.25">
      <c r="B13" s="4">
        <v>5</v>
      </c>
      <c r="C13" s="4" t="s">
        <v>297</v>
      </c>
      <c r="D13" s="4" t="s">
        <v>385</v>
      </c>
      <c r="E13" s="8" t="s">
        <v>3</v>
      </c>
      <c r="F13" s="8" t="s">
        <v>106</v>
      </c>
      <c r="G13" s="8" t="s">
        <v>338</v>
      </c>
      <c r="H13" s="5" t="s">
        <v>403</v>
      </c>
      <c r="I13" s="5" t="s">
        <v>16</v>
      </c>
      <c r="J13" s="4" t="s">
        <v>262</v>
      </c>
    </row>
    <row r="14" spans="2:10" x14ac:dyDescent="0.25">
      <c r="B14" s="4">
        <v>6</v>
      </c>
      <c r="C14" s="4" t="s">
        <v>172</v>
      </c>
      <c r="D14" s="4" t="s">
        <v>386</v>
      </c>
      <c r="E14" s="8" t="s">
        <v>3</v>
      </c>
      <c r="F14" s="8" t="s">
        <v>328</v>
      </c>
      <c r="G14" s="8" t="s">
        <v>338</v>
      </c>
      <c r="H14" s="5" t="s">
        <v>403</v>
      </c>
      <c r="I14" s="5" t="s">
        <v>16</v>
      </c>
      <c r="J14" s="4" t="s">
        <v>263</v>
      </c>
    </row>
    <row r="15" spans="2:10" x14ac:dyDescent="0.25">
      <c r="B15" s="4">
        <v>7</v>
      </c>
      <c r="C15" s="4" t="s">
        <v>172</v>
      </c>
      <c r="D15" s="4" t="s">
        <v>171</v>
      </c>
      <c r="E15" s="8" t="s">
        <v>3</v>
      </c>
      <c r="F15" s="8" t="s">
        <v>96</v>
      </c>
      <c r="G15" s="8" t="s">
        <v>338</v>
      </c>
      <c r="H15" s="5" t="s">
        <v>403</v>
      </c>
      <c r="I15" s="5" t="s">
        <v>16</v>
      </c>
      <c r="J15" s="4" t="s">
        <v>263</v>
      </c>
    </row>
    <row r="17" spans="3:9" x14ac:dyDescent="0.25">
      <c r="C17" s="3" t="s">
        <v>17</v>
      </c>
      <c r="D17" s="3" t="s">
        <v>20</v>
      </c>
      <c r="E17" s="3" t="s">
        <v>21</v>
      </c>
      <c r="F17" s="3" t="s">
        <v>8</v>
      </c>
      <c r="G17" s="2"/>
      <c r="H17" s="102" t="s">
        <v>392</v>
      </c>
      <c r="I17" s="102"/>
    </row>
    <row r="18" spans="3:9" x14ac:dyDescent="0.25">
      <c r="C18" s="4" t="s">
        <v>18</v>
      </c>
      <c r="D18" s="5">
        <f>COUNTIF($G9:$G15,"YES")</f>
        <v>7</v>
      </c>
      <c r="E18" s="5">
        <f>COUNTIFS($H9:$H15,"&lt;&gt;",$H9:$H15,"&lt;&gt;OPEN OFFICE/LIBREOFFICE")</f>
        <v>0</v>
      </c>
      <c r="F18" s="5">
        <f>COUNTIFS($I9:$I15,"CAL")</f>
        <v>0</v>
      </c>
      <c r="G18" s="15"/>
      <c r="H18" s="8" t="s">
        <v>107</v>
      </c>
      <c r="I18" s="8">
        <f>COUNTIF(H9:H15,"*2010")</f>
        <v>0</v>
      </c>
    </row>
    <row r="19" spans="3:9" x14ac:dyDescent="0.25">
      <c r="C19" s="4" t="s">
        <v>19</v>
      </c>
      <c r="D19" s="5">
        <f>COUNTIF($G9:$G15,"NO")</f>
        <v>0</v>
      </c>
      <c r="E19" s="5">
        <f>COUNTIFS($H9:$H15,"&lt;&gt;",$H9:$H15,"OPEN OFFICE/LIBREOFFICE")</f>
        <v>7</v>
      </c>
      <c r="F19" s="5">
        <f>COUNTIFS($I9:$I15,"NONE")</f>
        <v>0</v>
      </c>
      <c r="G19" s="15"/>
      <c r="H19" s="8" t="s">
        <v>108</v>
      </c>
      <c r="I19" s="8">
        <f>COUNTIF(H9:H15,"*2016")</f>
        <v>0</v>
      </c>
    </row>
    <row r="20" spans="3:9" x14ac:dyDescent="0.25">
      <c r="E20" s="6" t="s">
        <v>16</v>
      </c>
      <c r="F20" s="7">
        <f>COUNTIFS($I9:$I15,"EXCLUDED")</f>
        <v>7</v>
      </c>
      <c r="H20" s="8" t="s">
        <v>393</v>
      </c>
      <c r="I20" s="8">
        <f>COUNTIF(H9:H15,"*2021")</f>
        <v>0</v>
      </c>
    </row>
    <row r="21" spans="3:9" x14ac:dyDescent="0.25">
      <c r="H21" s="8" t="s">
        <v>394</v>
      </c>
      <c r="I21" s="8">
        <f>COUNTIF(H9:H15,"*2024")</f>
        <v>0</v>
      </c>
    </row>
    <row r="22" spans="3:9" x14ac:dyDescent="0.25">
      <c r="C22" s="97" t="s">
        <v>39</v>
      </c>
      <c r="D22" s="97"/>
      <c r="E22" s="97"/>
    </row>
    <row r="23" spans="3:9" x14ac:dyDescent="0.25">
      <c r="C23" s="4"/>
      <c r="D23" s="3" t="s">
        <v>4</v>
      </c>
      <c r="E23" s="3" t="s">
        <v>98</v>
      </c>
    </row>
    <row r="24" spans="3:9" x14ac:dyDescent="0.25">
      <c r="C24" s="27" t="s">
        <v>333</v>
      </c>
      <c r="D24" s="3"/>
      <c r="E24" s="3"/>
    </row>
    <row r="25" spans="3:9" x14ac:dyDescent="0.25">
      <c r="C25" s="8" t="s">
        <v>340</v>
      </c>
      <c r="D25" s="5">
        <f>COUNTIFS($E9:$E15,"LAPTOP",$F9:$F15,"*11*HOME*")</f>
        <v>0</v>
      </c>
      <c r="E25" s="5">
        <f>COUNTIFS($E9:$E15,"DESKTOP",$F9:$F15,"*11*HOME*")</f>
        <v>0</v>
      </c>
    </row>
    <row r="26" spans="3:9" x14ac:dyDescent="0.25">
      <c r="C26" s="8" t="s">
        <v>100</v>
      </c>
      <c r="D26" s="5">
        <f>COUNTIFS($E9:$E15,"LAPTOP",$F9:$F15,"*11*PRO*")</f>
        <v>0</v>
      </c>
      <c r="E26" s="5">
        <f>COUNTIFS($E9:$E15,"DESKTOP",$F9:$F15,"*11*PRO*")</f>
        <v>0</v>
      </c>
    </row>
    <row r="27" spans="3:9" x14ac:dyDescent="0.25">
      <c r="C27" s="27" t="s">
        <v>7</v>
      </c>
      <c r="D27" s="8"/>
      <c r="E27" s="8"/>
    </row>
    <row r="28" spans="3:9" x14ac:dyDescent="0.25">
      <c r="C28" s="8" t="s">
        <v>99</v>
      </c>
      <c r="D28" s="8">
        <f>COUNTIFS($E9:$E15,"LAPTOP",$F9:$F15,"*10*OEM*")</f>
        <v>0</v>
      </c>
      <c r="E28" s="8">
        <f>COUNTIFS($E9:$E15,"DESKTOP",$F9:$F15,"*10*OEM*")</f>
        <v>1</v>
      </c>
    </row>
    <row r="29" spans="3:9" x14ac:dyDescent="0.25">
      <c r="C29" s="8" t="s">
        <v>100</v>
      </c>
      <c r="D29" s="8">
        <f>COUNTIFS($E9:$E15,"LAPTOP",$F9:$F15,"*10*",$F9:$F15,"&lt;&gt;*OEM*")</f>
        <v>0</v>
      </c>
      <c r="E29" s="8">
        <f>COUNTIFS($E9:$E15,"DESKTOP",$F9:$F15,"*10*",$F9:$F15,"&lt;&gt;*OEM*")</f>
        <v>3</v>
      </c>
    </row>
    <row r="30" spans="3:9" x14ac:dyDescent="0.25">
      <c r="C30" s="27" t="s">
        <v>44</v>
      </c>
      <c r="D30" s="8"/>
      <c r="E30" s="8"/>
    </row>
    <row r="31" spans="3:9" x14ac:dyDescent="0.25">
      <c r="C31" s="8" t="s">
        <v>101</v>
      </c>
      <c r="D31" s="8">
        <f>COUNTIFS($E9:$E15,"LAPTOP",$F9:$F15,"*7*",$F9:$F15,"*GGWA*")</f>
        <v>0</v>
      </c>
      <c r="E31" s="8">
        <f>COUNTIFS($E9:$E15,"DESKTOP",$F9:$F15,"*7*",$F9:$F15,"*GGWA*")</f>
        <v>3</v>
      </c>
    </row>
    <row r="32" spans="3:9" x14ac:dyDescent="0.25">
      <c r="C32" s="97" t="s">
        <v>45</v>
      </c>
      <c r="D32" s="26">
        <f>SUM(D24:D31)</f>
        <v>0</v>
      </c>
      <c r="E32" s="26">
        <f>SUM(E24:E31)</f>
        <v>7</v>
      </c>
    </row>
    <row r="33" spans="3:9" x14ac:dyDescent="0.25">
      <c r="C33" s="97"/>
      <c r="D33" s="96">
        <f>D32+E32</f>
        <v>7</v>
      </c>
      <c r="E33" s="96"/>
      <c r="H33" s="103"/>
      <c r="I33" s="103"/>
    </row>
    <row r="34" spans="3:9" x14ac:dyDescent="0.25">
      <c r="H34" s="12"/>
      <c r="I34" s="1"/>
    </row>
    <row r="35" spans="3:9" x14ac:dyDescent="0.25">
      <c r="H35" s="12"/>
      <c r="I35" s="1"/>
    </row>
    <row r="36" spans="3:9" x14ac:dyDescent="0.25">
      <c r="H36" s="12"/>
      <c r="I36" s="1"/>
    </row>
    <row r="37" spans="3:9" x14ac:dyDescent="0.25">
      <c r="H37" s="12"/>
      <c r="I37" s="1"/>
    </row>
    <row r="38" spans="3:9" x14ac:dyDescent="0.25">
      <c r="H38" s="12"/>
      <c r="I38" s="1"/>
    </row>
    <row r="39" spans="3:9" x14ac:dyDescent="0.25">
      <c r="H39" s="29"/>
      <c r="I39" s="29"/>
    </row>
  </sheetData>
  <autoFilter ref="B8:J15" xr:uid="{00000000-0009-0000-0000-000007000000}">
    <filterColumn colId="0" showButton="0"/>
  </autoFilter>
  <mergeCells count="10">
    <mergeCell ref="H33:I33"/>
    <mergeCell ref="B2:I2"/>
    <mergeCell ref="B3:I3"/>
    <mergeCell ref="B4:I4"/>
    <mergeCell ref="B6:I6"/>
    <mergeCell ref="B8:C8"/>
    <mergeCell ref="C22:E22"/>
    <mergeCell ref="C32:C33"/>
    <mergeCell ref="D33:E33"/>
    <mergeCell ref="H17:I17"/>
  </mergeCells>
  <dataValidations count="2">
    <dataValidation type="list" allowBlank="1" showInputMessage="1" showErrorMessage="1" sqref="G9:G15" xr:uid="{00000000-0002-0000-0700-000000000000}">
      <formula1>"YES, NO"</formula1>
    </dataValidation>
    <dataValidation type="list" allowBlank="1" showInputMessage="1" showErrorMessage="1" sqref="E9:E15" xr:uid="{00000000-0002-0000-0700-000001000000}">
      <formula1>"Desktop, Laptop"</formula1>
    </dataValidation>
  </dataValidations>
  <pageMargins left="0.25" right="0.25" top="0.75" bottom="0.75" header="0.3" footer="0.3"/>
  <pageSetup scale="6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42"/>
  <sheetViews>
    <sheetView view="pageBreakPreview" topLeftCell="B1" zoomScale="85" zoomScaleNormal="110" zoomScaleSheetLayoutView="85" workbookViewId="0">
      <selection activeCell="F10" sqref="F10"/>
    </sheetView>
  </sheetViews>
  <sheetFormatPr defaultRowHeight="15" x14ac:dyDescent="0.25"/>
  <cols>
    <col min="1" max="1" width="2.7109375" customWidth="1"/>
    <col min="2" max="2" width="5.28515625" customWidth="1"/>
    <col min="3" max="3" width="44.42578125" customWidth="1"/>
    <col min="4" max="4" width="26.7109375" customWidth="1"/>
    <col min="5" max="5" width="24.42578125" style="1" customWidth="1"/>
    <col min="6" max="6" width="29.28515625" style="1" customWidth="1"/>
    <col min="7" max="7" width="13.85546875" style="1" bestFit="1" customWidth="1"/>
    <col min="8" max="8" width="24.7109375" bestFit="1" customWidth="1"/>
    <col min="9" max="9" width="25" customWidth="1"/>
    <col min="10" max="10" width="18.425781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130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ht="30" customHeight="1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x14ac:dyDescent="0.25">
      <c r="B9" s="4">
        <v>1</v>
      </c>
      <c r="C9" s="4" t="s">
        <v>295</v>
      </c>
      <c r="D9" s="4" t="s">
        <v>221</v>
      </c>
      <c r="E9" s="8" t="s">
        <v>3</v>
      </c>
      <c r="F9" s="8" t="s">
        <v>328</v>
      </c>
      <c r="G9" s="8" t="s">
        <v>338</v>
      </c>
      <c r="H9" s="5" t="s">
        <v>403</v>
      </c>
      <c r="I9" s="5" t="s">
        <v>16</v>
      </c>
      <c r="J9" s="4" t="s">
        <v>263</v>
      </c>
    </row>
    <row r="10" spans="2:10" x14ac:dyDescent="0.25">
      <c r="B10" s="4">
        <v>2</v>
      </c>
      <c r="C10" s="4" t="s">
        <v>152</v>
      </c>
      <c r="D10" s="4" t="s">
        <v>222</v>
      </c>
      <c r="E10" s="8" t="s">
        <v>3</v>
      </c>
      <c r="F10" s="8" t="s">
        <v>5</v>
      </c>
      <c r="G10" s="8" t="s">
        <v>338</v>
      </c>
      <c r="H10" s="5" t="s">
        <v>403</v>
      </c>
      <c r="I10" s="5" t="s">
        <v>16</v>
      </c>
      <c r="J10" s="4" t="s">
        <v>260</v>
      </c>
    </row>
    <row r="11" spans="2:10" x14ac:dyDescent="0.25">
      <c r="B11" s="4">
        <v>3</v>
      </c>
      <c r="C11" s="4" t="s">
        <v>219</v>
      </c>
      <c r="D11" s="4" t="s">
        <v>293</v>
      </c>
      <c r="E11" s="8" t="s">
        <v>3</v>
      </c>
      <c r="F11" s="8" t="s">
        <v>5</v>
      </c>
      <c r="G11" s="8" t="s">
        <v>338</v>
      </c>
      <c r="H11" s="5" t="s">
        <v>403</v>
      </c>
      <c r="I11" s="5" t="s">
        <v>16</v>
      </c>
      <c r="J11" s="4" t="s">
        <v>262</v>
      </c>
    </row>
    <row r="12" spans="2:10" x14ac:dyDescent="0.25">
      <c r="B12" s="4">
        <v>4</v>
      </c>
      <c r="C12" s="4" t="s">
        <v>172</v>
      </c>
      <c r="D12" s="4" t="s">
        <v>294</v>
      </c>
      <c r="E12" s="8" t="s">
        <v>3</v>
      </c>
      <c r="F12" s="8" t="s">
        <v>328</v>
      </c>
      <c r="G12" s="8" t="s">
        <v>338</v>
      </c>
      <c r="H12" s="5" t="s">
        <v>403</v>
      </c>
      <c r="I12" s="5" t="s">
        <v>16</v>
      </c>
      <c r="J12" s="4" t="s">
        <v>263</v>
      </c>
    </row>
    <row r="15" spans="2:10" x14ac:dyDescent="0.25">
      <c r="C15" s="3" t="s">
        <v>17</v>
      </c>
      <c r="D15" s="3" t="s">
        <v>20</v>
      </c>
      <c r="E15" s="3" t="s">
        <v>21</v>
      </c>
      <c r="F15" s="3" t="s">
        <v>8</v>
      </c>
      <c r="G15" s="2"/>
      <c r="H15" s="102" t="s">
        <v>392</v>
      </c>
      <c r="I15" s="102"/>
    </row>
    <row r="16" spans="2:10" x14ac:dyDescent="0.25">
      <c r="C16" s="4" t="s">
        <v>18</v>
      </c>
      <c r="D16" s="5">
        <f>COUNTIF($G9:$G12,"YES")</f>
        <v>4</v>
      </c>
      <c r="E16" s="5">
        <f>COUNTIFS($H9:$H12,"&lt;&gt;",$H9:$H12,"&lt;&gt;OPEN OFFICE/LIBREOFFICE")</f>
        <v>0</v>
      </c>
      <c r="F16" s="5">
        <f>COUNTIFS($I9:$I12,"CAL")</f>
        <v>0</v>
      </c>
      <c r="G16" s="15"/>
      <c r="H16" s="8" t="s">
        <v>107</v>
      </c>
      <c r="I16" s="8">
        <f>COUNTIF(H9:H12,"*2010")</f>
        <v>0</v>
      </c>
    </row>
    <row r="17" spans="3:9" x14ac:dyDescent="0.25">
      <c r="C17" s="4" t="s">
        <v>19</v>
      </c>
      <c r="D17" s="5">
        <f>COUNTIF($G9:$G12,"NO")</f>
        <v>0</v>
      </c>
      <c r="E17" s="5">
        <f>COUNTIFS($H9:$H12,"&lt;&gt;",$H9:$H12,"OPEN OFFICE/LIBREOFFICE")</f>
        <v>4</v>
      </c>
      <c r="F17" s="5">
        <f>COUNTIFS($I9:$I12,"NONE")</f>
        <v>0</v>
      </c>
      <c r="G17" s="15"/>
      <c r="H17" s="8" t="s">
        <v>108</v>
      </c>
      <c r="I17" s="8">
        <f>COUNTIF(H9:H12,"*2016")</f>
        <v>0</v>
      </c>
    </row>
    <row r="18" spans="3:9" x14ac:dyDescent="0.25">
      <c r="E18" s="6" t="s">
        <v>16</v>
      </c>
      <c r="F18" s="7">
        <f>COUNTIFS($I9:$I12,"EXCLUDED")</f>
        <v>4</v>
      </c>
      <c r="H18" s="8" t="s">
        <v>393</v>
      </c>
      <c r="I18" s="8">
        <f>COUNTIF(H9:H12,"*2021")</f>
        <v>0</v>
      </c>
    </row>
    <row r="19" spans="3:9" x14ac:dyDescent="0.25">
      <c r="H19" s="8" t="s">
        <v>394</v>
      </c>
      <c r="I19" s="8">
        <f>COUNTIF(H9:H12,"*2024")</f>
        <v>0</v>
      </c>
    </row>
    <row r="20" spans="3:9" x14ac:dyDescent="0.25">
      <c r="C20" s="97" t="s">
        <v>39</v>
      </c>
      <c r="D20" s="97"/>
      <c r="E20" s="97"/>
    </row>
    <row r="21" spans="3:9" x14ac:dyDescent="0.25">
      <c r="C21" s="3"/>
      <c r="D21" s="3"/>
      <c r="E21" s="3"/>
    </row>
    <row r="22" spans="3:9" x14ac:dyDescent="0.25">
      <c r="C22" s="4"/>
      <c r="D22" s="3" t="s">
        <v>4</v>
      </c>
      <c r="E22" s="3" t="s">
        <v>98</v>
      </c>
    </row>
    <row r="23" spans="3:9" x14ac:dyDescent="0.25">
      <c r="C23" s="27" t="s">
        <v>333</v>
      </c>
      <c r="D23" s="3"/>
      <c r="E23" s="3"/>
    </row>
    <row r="24" spans="3:9" x14ac:dyDescent="0.25">
      <c r="C24" s="8" t="s">
        <v>340</v>
      </c>
      <c r="D24" s="5">
        <f>COUNTIFS($E9:$E12,"LAPTOP",$F9:$F12,"*11*HOME*")</f>
        <v>0</v>
      </c>
      <c r="E24" s="5">
        <f>COUNTIFS($E9:$E12,"DESKTOP",$F9:$F12,"*11*HOME*")</f>
        <v>0</v>
      </c>
    </row>
    <row r="25" spans="3:9" x14ac:dyDescent="0.25">
      <c r="C25" s="8" t="s">
        <v>100</v>
      </c>
      <c r="D25" s="5">
        <f>COUNTIFS($E9:$E12,"LAPTOP",$F9:$F12,"*11*PRO*")</f>
        <v>0</v>
      </c>
      <c r="E25" s="5">
        <f>COUNTIFS($E9:$E12,"DESKTOP",$F9:$F12,"*11*PRO*")</f>
        <v>0</v>
      </c>
    </row>
    <row r="26" spans="3:9" x14ac:dyDescent="0.25">
      <c r="C26" s="27" t="s">
        <v>7</v>
      </c>
      <c r="D26" s="8"/>
      <c r="E26" s="8"/>
    </row>
    <row r="27" spans="3:9" x14ac:dyDescent="0.25">
      <c r="C27" s="8" t="s">
        <v>99</v>
      </c>
      <c r="D27" s="8">
        <f>COUNTIFS($E9:$E12,"LAPTOP",$F9:$F12,"*10*OEM*")</f>
        <v>0</v>
      </c>
      <c r="E27" s="8">
        <f>COUNTIFS($E9:$E12,"DESKTOP",$F9:$F12,"*10*OEM*")</f>
        <v>2</v>
      </c>
    </row>
    <row r="28" spans="3:9" x14ac:dyDescent="0.25">
      <c r="C28" s="8" t="s">
        <v>100</v>
      </c>
      <c r="D28" s="8">
        <f>COUNTIFS($E9:$E12,"LAPTOP",$F9:$F12,"*10*",$F9:$F12,"&lt;&gt;*OEM*")</f>
        <v>0</v>
      </c>
      <c r="E28" s="8">
        <f>COUNTIFS($E9:$E12,"DESKTOP",$F9:$F12,"*10*",$F9:$F12,"&lt;&gt;*OEM*")</f>
        <v>0</v>
      </c>
    </row>
    <row r="29" spans="3:9" x14ac:dyDescent="0.25">
      <c r="C29" s="27" t="s">
        <v>44</v>
      </c>
      <c r="D29" s="8"/>
      <c r="E29" s="8"/>
    </row>
    <row r="30" spans="3:9" x14ac:dyDescent="0.25">
      <c r="C30" s="8" t="s">
        <v>101</v>
      </c>
      <c r="D30" s="8">
        <f>COUNTIFS($E9:$E12,"LAPTOP",$F9:$F12,"*7*",$F9:$F12,"*GGWA*")</f>
        <v>0</v>
      </c>
      <c r="E30" s="8">
        <f>COUNTIFS($E9:$E12,"DESKTOP",$F9:$F12,"*7*",$F9:$F12,"*GGWA*")</f>
        <v>2</v>
      </c>
    </row>
    <row r="31" spans="3:9" x14ac:dyDescent="0.25">
      <c r="C31" s="97" t="s">
        <v>45</v>
      </c>
      <c r="D31" s="26">
        <f>SUM(D23:D30)</f>
        <v>0</v>
      </c>
      <c r="E31" s="26">
        <f>SUM(E23:E30)</f>
        <v>4</v>
      </c>
    </row>
    <row r="32" spans="3:9" x14ac:dyDescent="0.25">
      <c r="C32" s="97"/>
      <c r="D32" s="96">
        <f>D31+E31</f>
        <v>4</v>
      </c>
      <c r="E32" s="96"/>
    </row>
    <row r="36" spans="8:9" x14ac:dyDescent="0.25">
      <c r="H36" s="103"/>
      <c r="I36" s="103"/>
    </row>
    <row r="37" spans="8:9" x14ac:dyDescent="0.25">
      <c r="H37" s="12"/>
      <c r="I37" s="1"/>
    </row>
    <row r="38" spans="8:9" x14ac:dyDescent="0.25">
      <c r="H38" s="12"/>
      <c r="I38" s="1"/>
    </row>
    <row r="39" spans="8:9" x14ac:dyDescent="0.25">
      <c r="H39" s="12"/>
      <c r="I39" s="1"/>
    </row>
    <row r="40" spans="8:9" x14ac:dyDescent="0.25">
      <c r="H40" s="12"/>
      <c r="I40" s="1"/>
    </row>
    <row r="41" spans="8:9" x14ac:dyDescent="0.25">
      <c r="H41" s="12"/>
      <c r="I41" s="1"/>
    </row>
    <row r="42" spans="8:9" x14ac:dyDescent="0.25">
      <c r="H42" s="29"/>
      <c r="I42" s="29"/>
    </row>
  </sheetData>
  <autoFilter ref="B8:J12" xr:uid="{00000000-0009-0000-0000-000008000000}">
    <filterColumn colId="0" showButton="0"/>
  </autoFilter>
  <mergeCells count="10">
    <mergeCell ref="H36:I36"/>
    <mergeCell ref="B2:I2"/>
    <mergeCell ref="B3:I3"/>
    <mergeCell ref="B4:I4"/>
    <mergeCell ref="B6:I6"/>
    <mergeCell ref="B8:C8"/>
    <mergeCell ref="C20:E20"/>
    <mergeCell ref="C31:C32"/>
    <mergeCell ref="D32:E32"/>
    <mergeCell ref="H15:I15"/>
  </mergeCells>
  <dataValidations disablePrompts="1" count="2">
    <dataValidation type="list" allowBlank="1" showInputMessage="1" showErrorMessage="1" sqref="G9:G12" xr:uid="{00000000-0002-0000-0800-000000000000}">
      <formula1>"YES, NO"</formula1>
    </dataValidation>
    <dataValidation type="list" allowBlank="1" showInputMessage="1" showErrorMessage="1" sqref="E9:E12" xr:uid="{00000000-0002-0000-0800-000001000000}">
      <formula1>"Desktop, Laptop"</formula1>
    </dataValidation>
  </dataValidations>
  <pageMargins left="0.25" right="0.25" top="0.75" bottom="0.75" header="0.3" footer="0.3"/>
  <pageSetup scale="6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42"/>
  <sheetViews>
    <sheetView tabSelected="1" view="pageBreakPreview" zoomScale="60" zoomScaleNormal="100" workbookViewId="0">
      <selection activeCell="B4" sqref="B4:I4"/>
    </sheetView>
  </sheetViews>
  <sheetFormatPr defaultColWidth="9.28515625" defaultRowHeight="15" x14ac:dyDescent="0.25"/>
  <cols>
    <col min="1" max="1" width="2.7109375" customWidth="1"/>
    <col min="2" max="2" width="5.28515625" customWidth="1"/>
    <col min="3" max="3" width="44.42578125" customWidth="1"/>
    <col min="4" max="4" width="26.7109375" customWidth="1"/>
    <col min="5" max="5" width="24.42578125" style="1" customWidth="1"/>
    <col min="6" max="6" width="29.28515625" style="1" customWidth="1"/>
    <col min="7" max="7" width="9.28515625" style="1" bestFit="1" customWidth="1"/>
    <col min="8" max="8" width="24.7109375" bestFit="1" customWidth="1"/>
    <col min="9" max="9" width="25" customWidth="1"/>
    <col min="10" max="10" width="18.425781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286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ht="30" customHeight="1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x14ac:dyDescent="0.25">
      <c r="B9" s="4">
        <v>1</v>
      </c>
      <c r="C9" s="4" t="s">
        <v>287</v>
      </c>
      <c r="D9" s="4" t="s">
        <v>388</v>
      </c>
      <c r="E9" s="8" t="s">
        <v>4</v>
      </c>
      <c r="F9" s="8" t="s">
        <v>5</v>
      </c>
      <c r="G9" s="8" t="s">
        <v>338</v>
      </c>
      <c r="H9" s="5" t="s">
        <v>403</v>
      </c>
      <c r="I9" s="5" t="s">
        <v>16</v>
      </c>
      <c r="J9" s="4" t="s">
        <v>263</v>
      </c>
    </row>
    <row r="10" spans="2:10" x14ac:dyDescent="0.25">
      <c r="B10" s="4">
        <v>2</v>
      </c>
      <c r="C10" s="4" t="s">
        <v>219</v>
      </c>
      <c r="D10" s="4" t="s">
        <v>389</v>
      </c>
      <c r="E10" s="8" t="s">
        <v>3</v>
      </c>
      <c r="F10" s="8" t="s">
        <v>5</v>
      </c>
      <c r="G10" s="8" t="s">
        <v>338</v>
      </c>
      <c r="H10" s="5" t="s">
        <v>403</v>
      </c>
      <c r="I10" s="5" t="s">
        <v>16</v>
      </c>
      <c r="J10" s="4" t="s">
        <v>262</v>
      </c>
    </row>
    <row r="11" spans="2:10" x14ac:dyDescent="0.25">
      <c r="B11" s="4">
        <v>3</v>
      </c>
      <c r="C11" s="4" t="s">
        <v>289</v>
      </c>
      <c r="D11" s="4" t="s">
        <v>288</v>
      </c>
      <c r="E11" s="8" t="s">
        <v>3</v>
      </c>
      <c r="F11" s="8" t="s">
        <v>332</v>
      </c>
      <c r="G11" s="8" t="s">
        <v>338</v>
      </c>
      <c r="H11" s="5" t="s">
        <v>403</v>
      </c>
      <c r="I11" s="5" t="s">
        <v>16</v>
      </c>
      <c r="J11" s="4" t="s">
        <v>260</v>
      </c>
    </row>
    <row r="12" spans="2:10" x14ac:dyDescent="0.25">
      <c r="B12" s="4">
        <v>4</v>
      </c>
      <c r="C12" s="4" t="s">
        <v>290</v>
      </c>
      <c r="D12" s="4" t="s">
        <v>390</v>
      </c>
      <c r="E12" s="8" t="s">
        <v>3</v>
      </c>
      <c r="F12" s="8" t="s">
        <v>96</v>
      </c>
      <c r="G12" s="8" t="s">
        <v>338</v>
      </c>
      <c r="H12" s="5" t="s">
        <v>403</v>
      </c>
      <c r="I12" s="5" t="s">
        <v>16</v>
      </c>
      <c r="J12" s="4" t="s">
        <v>263</v>
      </c>
    </row>
    <row r="13" spans="2:10" x14ac:dyDescent="0.25">
      <c r="B13" s="4">
        <v>5</v>
      </c>
      <c r="C13" s="4" t="s">
        <v>291</v>
      </c>
      <c r="D13" s="4" t="s">
        <v>292</v>
      </c>
      <c r="E13" s="8" t="s">
        <v>3</v>
      </c>
      <c r="F13" s="8" t="s">
        <v>5</v>
      </c>
      <c r="G13" s="8" t="s">
        <v>338</v>
      </c>
      <c r="H13" s="5" t="s">
        <v>403</v>
      </c>
      <c r="I13" s="5" t="s">
        <v>16</v>
      </c>
      <c r="J13" s="4" t="s">
        <v>263</v>
      </c>
    </row>
    <row r="16" spans="2:10" x14ac:dyDescent="0.25">
      <c r="C16" s="3" t="s">
        <v>17</v>
      </c>
      <c r="D16" s="3" t="s">
        <v>20</v>
      </c>
      <c r="E16" s="3" t="s">
        <v>21</v>
      </c>
      <c r="F16" s="3" t="s">
        <v>8</v>
      </c>
      <c r="G16" s="2"/>
      <c r="H16" s="102" t="s">
        <v>392</v>
      </c>
      <c r="I16" s="102"/>
    </row>
    <row r="17" spans="3:9" x14ac:dyDescent="0.25">
      <c r="C17" s="4" t="s">
        <v>18</v>
      </c>
      <c r="D17" s="5">
        <f>COUNTIF($G9:$G13,"YES")</f>
        <v>5</v>
      </c>
      <c r="E17" s="5">
        <f>COUNTIFS($H9:$H13,"&lt;&gt;",$H9:$H13,"&lt;&gt;OPEN OFFICE/LIBREOFFICE")</f>
        <v>0</v>
      </c>
      <c r="F17" s="5">
        <f>COUNTIFS($I9:$I13,"CAL")</f>
        <v>0</v>
      </c>
      <c r="G17" s="15"/>
      <c r="H17" s="8" t="s">
        <v>107</v>
      </c>
      <c r="I17" s="8">
        <f>COUNTIF(H9:H13,"*2010")</f>
        <v>0</v>
      </c>
    </row>
    <row r="18" spans="3:9" x14ac:dyDescent="0.25">
      <c r="C18" s="4" t="s">
        <v>19</v>
      </c>
      <c r="D18" s="5">
        <f>COUNTIF($G9:$G13,"NO")</f>
        <v>0</v>
      </c>
      <c r="E18" s="5">
        <f>COUNTIFS($H9:$H13,"&lt;&gt;",$H9:$H13,"OPEN OFFICE/LIBREOFFICE")</f>
        <v>5</v>
      </c>
      <c r="F18" s="5">
        <f>COUNTIFS($I9:$I13,"NONE")</f>
        <v>0</v>
      </c>
      <c r="G18" s="15"/>
      <c r="H18" s="8" t="s">
        <v>108</v>
      </c>
      <c r="I18" s="8">
        <f>COUNTIF(H9:H13,"*2016")</f>
        <v>0</v>
      </c>
    </row>
    <row r="19" spans="3:9" x14ac:dyDescent="0.25">
      <c r="E19" s="6" t="s">
        <v>16</v>
      </c>
      <c r="F19" s="7">
        <f>COUNTIFS($I9:$I13,"EXCLUDED")</f>
        <v>5</v>
      </c>
      <c r="H19" s="8" t="s">
        <v>393</v>
      </c>
      <c r="I19" s="8">
        <f>COUNTIF(H9:H13,"*2021")</f>
        <v>0</v>
      </c>
    </row>
    <row r="20" spans="3:9" x14ac:dyDescent="0.25">
      <c r="H20" s="8" t="s">
        <v>394</v>
      </c>
      <c r="I20" s="8">
        <f>COUNTIF(H9:H13,"*2024")</f>
        <v>0</v>
      </c>
    </row>
    <row r="21" spans="3:9" x14ac:dyDescent="0.25">
      <c r="C21" s="97" t="s">
        <v>39</v>
      </c>
      <c r="D21" s="97"/>
      <c r="E21" s="97"/>
    </row>
    <row r="22" spans="3:9" x14ac:dyDescent="0.25">
      <c r="C22" s="4"/>
      <c r="D22" s="3" t="s">
        <v>4</v>
      </c>
      <c r="E22" s="3" t="s">
        <v>98</v>
      </c>
    </row>
    <row r="23" spans="3:9" x14ac:dyDescent="0.25">
      <c r="C23" s="87" t="s">
        <v>333</v>
      </c>
      <c r="D23" s="3"/>
      <c r="E23" s="3"/>
    </row>
    <row r="24" spans="3:9" x14ac:dyDescent="0.25">
      <c r="C24" s="5" t="s">
        <v>340</v>
      </c>
      <c r="D24" s="5">
        <f>COUNTIFS($E9:$E13,"LAPTOP",$F9:$F13,"*11*HOME*")</f>
        <v>0</v>
      </c>
      <c r="E24" s="5">
        <f>COUNTIFS($E9:$E13,"DESKTOP",$F9:$F13,"*11*HOME*")</f>
        <v>0</v>
      </c>
    </row>
    <row r="25" spans="3:9" x14ac:dyDescent="0.25">
      <c r="C25" s="5" t="s">
        <v>100</v>
      </c>
      <c r="D25" s="5">
        <f>COUNTIFS($E9:$E13,"LAPTOP",$F9:$F13,"*11*PRO*")</f>
        <v>0</v>
      </c>
      <c r="E25" s="5">
        <f>COUNTIFS($E9:$E13,"DESKTOP",$F9:$F13,"*11*PRO*")</f>
        <v>1</v>
      </c>
    </row>
    <row r="26" spans="3:9" x14ac:dyDescent="0.25">
      <c r="C26" s="87" t="s">
        <v>7</v>
      </c>
      <c r="D26" s="8"/>
      <c r="E26" s="8"/>
    </row>
    <row r="27" spans="3:9" x14ac:dyDescent="0.25">
      <c r="C27" s="5" t="s">
        <v>99</v>
      </c>
      <c r="D27" s="8">
        <f>COUNTIFS($E9:$E13,"LAPTOP",$F9:$F13,"*10*OEM*")</f>
        <v>0</v>
      </c>
      <c r="E27" s="8">
        <f>COUNTIFS($E9:$E13,"DESKTOP",$F9:$F13,"*10*OEM*")</f>
        <v>0</v>
      </c>
    </row>
    <row r="28" spans="3:9" x14ac:dyDescent="0.25">
      <c r="C28" s="5" t="s">
        <v>100</v>
      </c>
      <c r="D28" s="8">
        <f>COUNTIFS($E9:$E13,"LAPTOP",$F9:$F13,"*10*",$F9:$F13,"&lt;&gt;*OEM*")</f>
        <v>0</v>
      </c>
      <c r="E28" s="8">
        <f>COUNTIFS($E9:$E13,"DESKTOP",$F9:$F13,"*10*",$F9:$F13,"&lt;&gt;*OEM*")</f>
        <v>1</v>
      </c>
    </row>
    <row r="29" spans="3:9" x14ac:dyDescent="0.25">
      <c r="C29" s="87" t="s">
        <v>44</v>
      </c>
      <c r="D29" s="8"/>
      <c r="E29" s="8"/>
    </row>
    <row r="30" spans="3:9" x14ac:dyDescent="0.25">
      <c r="C30" s="5" t="s">
        <v>101</v>
      </c>
      <c r="D30" s="8">
        <f>COUNTIFS($E9:$E13,"LAPTOP",$F9:$F13,"*7*",$F9:$F13,"*GGWA*")</f>
        <v>1</v>
      </c>
      <c r="E30" s="8">
        <f>COUNTIFS($E9:$E13,"DESKTOP",$F9:$F13,"*7*",$F9:$F13,"*GGWA*")</f>
        <v>2</v>
      </c>
    </row>
    <row r="31" spans="3:9" x14ac:dyDescent="0.25">
      <c r="C31" s="97" t="s">
        <v>45</v>
      </c>
      <c r="D31" s="26">
        <f>SUM(D23:D30)</f>
        <v>1</v>
      </c>
      <c r="E31" s="26">
        <f>SUM(E23:E30)</f>
        <v>4</v>
      </c>
    </row>
    <row r="32" spans="3:9" x14ac:dyDescent="0.25">
      <c r="C32" s="97"/>
      <c r="D32" s="96">
        <f>D31+E31</f>
        <v>5</v>
      </c>
      <c r="E32" s="96"/>
    </row>
    <row r="36" spans="8:9" x14ac:dyDescent="0.25">
      <c r="H36" s="103"/>
      <c r="I36" s="103"/>
    </row>
    <row r="37" spans="8:9" x14ac:dyDescent="0.25">
      <c r="H37" s="12"/>
      <c r="I37" s="1"/>
    </row>
    <row r="38" spans="8:9" x14ac:dyDescent="0.25">
      <c r="H38" s="12"/>
      <c r="I38" s="1"/>
    </row>
    <row r="39" spans="8:9" x14ac:dyDescent="0.25">
      <c r="H39" s="12"/>
      <c r="I39" s="1"/>
    </row>
    <row r="40" spans="8:9" x14ac:dyDescent="0.25">
      <c r="H40" s="12"/>
      <c r="I40" s="1"/>
    </row>
    <row r="41" spans="8:9" x14ac:dyDescent="0.25">
      <c r="H41" s="12"/>
      <c r="I41" s="1"/>
    </row>
    <row r="42" spans="8:9" x14ac:dyDescent="0.25">
      <c r="H42" s="29"/>
      <c r="I42" s="29"/>
    </row>
  </sheetData>
  <mergeCells count="10">
    <mergeCell ref="C31:C32"/>
    <mergeCell ref="D32:E32"/>
    <mergeCell ref="H36:I36"/>
    <mergeCell ref="B2:I2"/>
    <mergeCell ref="B3:I3"/>
    <mergeCell ref="B4:I4"/>
    <mergeCell ref="B6:I6"/>
    <mergeCell ref="B8:C8"/>
    <mergeCell ref="C21:E21"/>
    <mergeCell ref="H16:I16"/>
  </mergeCells>
  <dataValidations count="2">
    <dataValidation type="list" allowBlank="1" showInputMessage="1" showErrorMessage="1" sqref="G9:G13" xr:uid="{00000000-0002-0000-0900-000000000000}">
      <formula1>"YES, NO"</formula1>
    </dataValidation>
    <dataValidation type="list" allowBlank="1" showInputMessage="1" showErrorMessage="1" sqref="E9:E13" xr:uid="{00000000-0002-0000-0900-000001000000}">
      <formula1>"Desktop, Laptop"</formula1>
    </dataValidation>
  </dataValidations>
  <pageMargins left="0.25" right="0.25" top="0.75" bottom="0.75" header="0.3" footer="0.3"/>
  <pageSetup scale="6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37"/>
  <sheetViews>
    <sheetView view="pageBreakPreview" zoomScale="85" zoomScaleNormal="100" zoomScaleSheetLayoutView="85" workbookViewId="0">
      <selection activeCell="I25" sqref="I25"/>
    </sheetView>
  </sheetViews>
  <sheetFormatPr defaultColWidth="9.28515625" defaultRowHeight="15" x14ac:dyDescent="0.25"/>
  <cols>
    <col min="1" max="1" width="2.7109375" customWidth="1"/>
    <col min="2" max="2" width="5.28515625" customWidth="1"/>
    <col min="3" max="3" width="44.42578125" customWidth="1"/>
    <col min="4" max="4" width="26.7109375" customWidth="1"/>
    <col min="5" max="5" width="24.42578125" style="1" customWidth="1"/>
    <col min="6" max="6" width="29.28515625" style="1" customWidth="1"/>
    <col min="7" max="7" width="9.28515625" style="1" bestFit="1" customWidth="1"/>
    <col min="8" max="8" width="24.7109375" bestFit="1" customWidth="1"/>
    <col min="9" max="9" width="25" customWidth="1"/>
    <col min="10" max="10" width="18.42578125" customWidth="1"/>
  </cols>
  <sheetData>
    <row r="2" spans="2:10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10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10" x14ac:dyDescent="0.25">
      <c r="B4" s="98" t="str">
        <f>'Main Office'!B4:I4</f>
        <v>As of September 2025</v>
      </c>
      <c r="C4" s="98"/>
      <c r="D4" s="98"/>
      <c r="E4" s="98"/>
      <c r="F4" s="98"/>
      <c r="G4" s="98"/>
      <c r="H4" s="98"/>
      <c r="I4" s="98"/>
    </row>
    <row r="5" spans="2:10" ht="4.5" customHeight="1" x14ac:dyDescent="0.25">
      <c r="B5" s="2"/>
      <c r="C5" s="2"/>
      <c r="D5" s="2"/>
      <c r="E5" s="2"/>
      <c r="F5" s="2"/>
      <c r="G5" s="2"/>
      <c r="H5" s="2"/>
      <c r="I5" s="2"/>
    </row>
    <row r="6" spans="2:10" x14ac:dyDescent="0.25">
      <c r="B6" s="98" t="s">
        <v>331</v>
      </c>
      <c r="C6" s="98"/>
      <c r="D6" s="98"/>
      <c r="E6" s="98"/>
      <c r="F6" s="98"/>
      <c r="G6" s="98"/>
      <c r="H6" s="98"/>
      <c r="I6" s="98"/>
    </row>
    <row r="7" spans="2:10" ht="4.5" customHeight="1" x14ac:dyDescent="0.25"/>
    <row r="8" spans="2:10" ht="30" customHeight="1" x14ac:dyDescent="0.25">
      <c r="B8" s="97" t="s">
        <v>9</v>
      </c>
      <c r="C8" s="97"/>
      <c r="D8" s="3" t="s">
        <v>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  <c r="J8" s="3" t="s">
        <v>253</v>
      </c>
    </row>
    <row r="9" spans="2:10" x14ac:dyDescent="0.25">
      <c r="B9" s="4">
        <v>1</v>
      </c>
      <c r="C9" s="4" t="s">
        <v>287</v>
      </c>
      <c r="D9" s="4" t="s">
        <v>215</v>
      </c>
      <c r="E9" s="8" t="s">
        <v>4</v>
      </c>
      <c r="F9" s="8" t="s">
        <v>330</v>
      </c>
      <c r="G9" s="8" t="s">
        <v>338</v>
      </c>
      <c r="H9" s="5" t="s">
        <v>403</v>
      </c>
      <c r="I9" s="5" t="s">
        <v>16</v>
      </c>
      <c r="J9" s="4" t="s">
        <v>263</v>
      </c>
    </row>
    <row r="10" spans="2:10" x14ac:dyDescent="0.25">
      <c r="B10" s="4">
        <v>2</v>
      </c>
      <c r="C10" s="4" t="s">
        <v>219</v>
      </c>
      <c r="D10" s="4" t="s">
        <v>312</v>
      </c>
      <c r="E10" s="8" t="s">
        <v>3</v>
      </c>
      <c r="F10" s="8" t="s">
        <v>330</v>
      </c>
      <c r="G10" s="8" t="s">
        <v>338</v>
      </c>
      <c r="H10" s="5" t="s">
        <v>403</v>
      </c>
      <c r="I10" s="5" t="s">
        <v>16</v>
      </c>
      <c r="J10" s="4" t="s">
        <v>262</v>
      </c>
    </row>
    <row r="11" spans="2:10" x14ac:dyDescent="0.25">
      <c r="B11" s="4">
        <v>3</v>
      </c>
      <c r="C11" s="4" t="s">
        <v>289</v>
      </c>
      <c r="D11" s="4" t="s">
        <v>396</v>
      </c>
      <c r="E11" s="8" t="s">
        <v>3</v>
      </c>
      <c r="F11" s="8" t="s">
        <v>330</v>
      </c>
      <c r="G11" s="8" t="s">
        <v>338</v>
      </c>
      <c r="H11" s="5" t="s">
        <v>403</v>
      </c>
      <c r="I11" s="5" t="s">
        <v>16</v>
      </c>
      <c r="J11" s="4" t="s">
        <v>260</v>
      </c>
    </row>
    <row r="12" spans="2:10" x14ac:dyDescent="0.25">
      <c r="B12" s="4">
        <v>4</v>
      </c>
      <c r="C12" s="4" t="s">
        <v>290</v>
      </c>
      <c r="D12" s="4" t="s">
        <v>397</v>
      </c>
      <c r="E12" s="8" t="s">
        <v>3</v>
      </c>
      <c r="F12" s="8" t="s">
        <v>330</v>
      </c>
      <c r="G12" s="8" t="s">
        <v>338</v>
      </c>
      <c r="H12" s="5" t="s">
        <v>403</v>
      </c>
      <c r="I12" s="5" t="s">
        <v>16</v>
      </c>
      <c r="J12" s="4" t="s">
        <v>263</v>
      </c>
    </row>
    <row r="13" spans="2:10" x14ac:dyDescent="0.25">
      <c r="B13" s="4">
        <v>5</v>
      </c>
      <c r="C13" s="4" t="s">
        <v>291</v>
      </c>
      <c r="D13" s="4" t="s">
        <v>398</v>
      </c>
      <c r="E13" s="8" t="s">
        <v>3</v>
      </c>
      <c r="F13" s="8" t="s">
        <v>330</v>
      </c>
      <c r="G13" s="8" t="s">
        <v>338</v>
      </c>
      <c r="H13" s="5" t="s">
        <v>403</v>
      </c>
      <c r="I13" s="5" t="s">
        <v>16</v>
      </c>
      <c r="J13" s="4" t="s">
        <v>263</v>
      </c>
    </row>
    <row r="16" spans="2:10" x14ac:dyDescent="0.25">
      <c r="C16" s="3" t="s">
        <v>17</v>
      </c>
      <c r="D16" s="3" t="s">
        <v>20</v>
      </c>
      <c r="E16" s="3" t="s">
        <v>21</v>
      </c>
      <c r="F16" s="3" t="s">
        <v>8</v>
      </c>
      <c r="G16" s="2"/>
      <c r="H16" s="102" t="s">
        <v>392</v>
      </c>
      <c r="I16" s="102"/>
    </row>
    <row r="17" spans="3:9" x14ac:dyDescent="0.25">
      <c r="C17" s="4" t="s">
        <v>18</v>
      </c>
      <c r="D17" s="5">
        <f>COUNTIF($G9:$G13,"YES")</f>
        <v>5</v>
      </c>
      <c r="E17" s="5">
        <f>COUNTIFS($H9:$H13,"&lt;&gt;",$H9:$H13,"&lt;&gt;OPEN OFFICE/LIBREOFFICE")</f>
        <v>0</v>
      </c>
      <c r="F17" s="5">
        <f>COUNTIFS($I9:$I13,"CAL")</f>
        <v>0</v>
      </c>
      <c r="G17" s="15"/>
      <c r="H17" s="8" t="s">
        <v>107</v>
      </c>
      <c r="I17" s="8">
        <f>COUNTIF(H9:H13,"*2010")</f>
        <v>0</v>
      </c>
    </row>
    <row r="18" spans="3:9" x14ac:dyDescent="0.25">
      <c r="C18" s="4" t="s">
        <v>19</v>
      </c>
      <c r="D18" s="5">
        <f>COUNTIF($G9:$G13,"NO")</f>
        <v>0</v>
      </c>
      <c r="E18" s="5">
        <f>COUNTIFS($H9:$H13,"&lt;&gt;",$H9:$H13,"OPEN OFFICE/LIBREOFFICE")</f>
        <v>5</v>
      </c>
      <c r="F18" s="5">
        <f>COUNTIFS($I9:$I13,"NONE")</f>
        <v>0</v>
      </c>
      <c r="G18" s="15"/>
      <c r="H18" s="8" t="s">
        <v>108</v>
      </c>
      <c r="I18" s="8">
        <f>COUNTIF(H9:H13,"*2016")</f>
        <v>0</v>
      </c>
    </row>
    <row r="19" spans="3:9" x14ac:dyDescent="0.25">
      <c r="E19" s="6" t="s">
        <v>16</v>
      </c>
      <c r="F19" s="7">
        <f>COUNTIFS($I9:$I13,"EXCLUDED")</f>
        <v>5</v>
      </c>
      <c r="H19" s="8" t="s">
        <v>393</v>
      </c>
      <c r="I19" s="8">
        <f>COUNTIF(H9:H13,"*2021")</f>
        <v>0</v>
      </c>
    </row>
    <row r="20" spans="3:9" x14ac:dyDescent="0.25">
      <c r="H20" s="8" t="s">
        <v>394</v>
      </c>
      <c r="I20" s="8">
        <f>COUNTIF(H9:H13,"*2024")</f>
        <v>0</v>
      </c>
    </row>
    <row r="21" spans="3:9" x14ac:dyDescent="0.25">
      <c r="C21" s="97" t="s">
        <v>39</v>
      </c>
      <c r="D21" s="97"/>
      <c r="E21" s="97"/>
    </row>
    <row r="22" spans="3:9" x14ac:dyDescent="0.25">
      <c r="C22" s="4"/>
      <c r="D22" s="3" t="s">
        <v>4</v>
      </c>
      <c r="E22" s="3" t="s">
        <v>98</v>
      </c>
    </row>
    <row r="23" spans="3:9" x14ac:dyDescent="0.25">
      <c r="C23" s="27" t="s">
        <v>333</v>
      </c>
      <c r="D23" s="8"/>
      <c r="E23" s="8"/>
    </row>
    <row r="24" spans="3:9" x14ac:dyDescent="0.25">
      <c r="C24" s="5" t="s">
        <v>340</v>
      </c>
      <c r="D24" s="8">
        <f>COUNTIFS($E9:$E13,"LAPTOP",$F9:$F13,"*11*HOME*")</f>
        <v>0</v>
      </c>
      <c r="E24" s="8">
        <f>COUNTIFS($E9:$E13,"DESKTOP",$F9:$F13,"*11*HOME*")</f>
        <v>0</v>
      </c>
    </row>
    <row r="25" spans="3:9" x14ac:dyDescent="0.25">
      <c r="C25" s="5" t="s">
        <v>100</v>
      </c>
      <c r="D25" s="8">
        <f>COUNTIFS($E9:$E13,"LAPTOP",$F9:$F13,"*11*PRO*")</f>
        <v>1</v>
      </c>
      <c r="E25" s="8">
        <f>COUNTIFS($E9:$E13,"DESKTOP",$F9:$F13,"*11*PRO*")</f>
        <v>4</v>
      </c>
    </row>
    <row r="26" spans="3:9" x14ac:dyDescent="0.25">
      <c r="C26" s="97" t="s">
        <v>45</v>
      </c>
      <c r="D26" s="26">
        <f>SUM(D23:D25)</f>
        <v>1</v>
      </c>
      <c r="E26" s="26">
        <f>SUM(E23:E25)</f>
        <v>4</v>
      </c>
    </row>
    <row r="27" spans="3:9" x14ac:dyDescent="0.25">
      <c r="C27" s="97"/>
      <c r="D27" s="96">
        <f>D26+E26</f>
        <v>5</v>
      </c>
      <c r="E27" s="96"/>
    </row>
    <row r="31" spans="3:9" x14ac:dyDescent="0.25">
      <c r="H31" s="103"/>
      <c r="I31" s="103"/>
    </row>
    <row r="32" spans="3:9" x14ac:dyDescent="0.25">
      <c r="H32" s="12"/>
      <c r="I32" s="1"/>
    </row>
    <row r="33" spans="8:9" x14ac:dyDescent="0.25">
      <c r="H33" s="12"/>
      <c r="I33" s="1"/>
    </row>
    <row r="34" spans="8:9" x14ac:dyDescent="0.25">
      <c r="H34" s="12"/>
      <c r="I34" s="1"/>
    </row>
    <row r="35" spans="8:9" x14ac:dyDescent="0.25">
      <c r="H35" s="12"/>
      <c r="I35" s="1"/>
    </row>
    <row r="36" spans="8:9" x14ac:dyDescent="0.25">
      <c r="H36" s="12"/>
      <c r="I36" s="1"/>
    </row>
    <row r="37" spans="8:9" x14ac:dyDescent="0.25">
      <c r="H37" s="29"/>
      <c r="I37" s="29"/>
    </row>
  </sheetData>
  <mergeCells count="10">
    <mergeCell ref="C26:C27"/>
    <mergeCell ref="D27:E27"/>
    <mergeCell ref="H31:I31"/>
    <mergeCell ref="B2:I2"/>
    <mergeCell ref="B3:I3"/>
    <mergeCell ref="B4:I4"/>
    <mergeCell ref="B6:I6"/>
    <mergeCell ref="B8:C8"/>
    <mergeCell ref="C21:E21"/>
    <mergeCell ref="H16:I16"/>
  </mergeCells>
  <dataValidations count="2">
    <dataValidation type="list" allowBlank="1" showInputMessage="1" showErrorMessage="1" sqref="G9:G13" xr:uid="{00000000-0002-0000-0A00-000000000000}">
      <formula1>"YES, NO"</formula1>
    </dataValidation>
    <dataValidation type="list" allowBlank="1" showInputMessage="1" showErrorMessage="1" sqref="E9:E13" xr:uid="{00000000-0002-0000-0A00-000001000000}">
      <formula1>"Desktop, Laptop"</formula1>
    </dataValidation>
  </dataValidations>
  <pageMargins left="0.25" right="0.25" top="0.75" bottom="0.75" header="0.3" footer="0.3"/>
  <pageSetup scale="6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I41"/>
  <sheetViews>
    <sheetView view="pageBreakPreview" zoomScale="95" zoomScaleNormal="100" zoomScaleSheetLayoutView="95" workbookViewId="0">
      <selection activeCell="D16" sqref="D16"/>
    </sheetView>
  </sheetViews>
  <sheetFormatPr defaultColWidth="9.28515625" defaultRowHeight="15" x14ac:dyDescent="0.25"/>
  <cols>
    <col min="1" max="1" width="2.7109375" customWidth="1"/>
    <col min="2" max="2" width="5.28515625" customWidth="1"/>
    <col min="3" max="3" width="44.42578125" customWidth="1"/>
    <col min="4" max="4" width="27.7109375" bestFit="1" customWidth="1"/>
    <col min="5" max="5" width="24.42578125" style="1" customWidth="1"/>
    <col min="6" max="6" width="29.28515625" style="1" customWidth="1"/>
    <col min="7" max="7" width="9.42578125" style="1" bestFit="1" customWidth="1"/>
    <col min="8" max="8" width="29.7109375" customWidth="1"/>
    <col min="9" max="9" width="25" customWidth="1"/>
    <col min="10" max="10" width="3.5703125" customWidth="1"/>
  </cols>
  <sheetData>
    <row r="2" spans="2:9" x14ac:dyDescent="0.25">
      <c r="B2" s="98" t="s">
        <v>22</v>
      </c>
      <c r="C2" s="98"/>
      <c r="D2" s="98"/>
      <c r="E2" s="98"/>
      <c r="F2" s="98"/>
      <c r="G2" s="98"/>
      <c r="H2" s="98"/>
      <c r="I2" s="98"/>
    </row>
    <row r="3" spans="2:9" x14ac:dyDescent="0.25">
      <c r="B3" s="98" t="s">
        <v>23</v>
      </c>
      <c r="C3" s="98"/>
      <c r="D3" s="98"/>
      <c r="E3" s="98"/>
      <c r="F3" s="98"/>
      <c r="G3" s="98"/>
      <c r="H3" s="98"/>
      <c r="I3" s="98"/>
    </row>
    <row r="4" spans="2:9" x14ac:dyDescent="0.25">
      <c r="B4" s="98" t="s">
        <v>279</v>
      </c>
      <c r="C4" s="98"/>
      <c r="D4" s="98"/>
      <c r="E4" s="98"/>
      <c r="F4" s="98"/>
      <c r="G4" s="98"/>
      <c r="H4" s="98"/>
      <c r="I4" s="98"/>
    </row>
    <row r="5" spans="2:9" ht="4.5" customHeight="1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98" t="s">
        <v>126</v>
      </c>
      <c r="C6" s="98"/>
      <c r="D6" s="98"/>
      <c r="E6" s="98"/>
      <c r="F6" s="98"/>
      <c r="G6" s="98"/>
      <c r="H6" s="98"/>
      <c r="I6" s="98"/>
    </row>
    <row r="7" spans="2:9" ht="4.5" customHeight="1" x14ac:dyDescent="0.25"/>
    <row r="8" spans="2:9" ht="30" customHeight="1" x14ac:dyDescent="0.25">
      <c r="B8" s="97" t="s">
        <v>109</v>
      </c>
      <c r="C8" s="97"/>
      <c r="D8" s="3" t="s">
        <v>110</v>
      </c>
      <c r="E8" s="3" t="s">
        <v>11</v>
      </c>
      <c r="F8" s="3" t="s">
        <v>12</v>
      </c>
      <c r="G8" s="3" t="s">
        <v>339</v>
      </c>
      <c r="H8" s="3" t="s">
        <v>13</v>
      </c>
      <c r="I8" s="3" t="s">
        <v>14</v>
      </c>
    </row>
    <row r="9" spans="2:9" ht="2.25" customHeight="1" x14ac:dyDescent="0.25">
      <c r="B9" s="104"/>
      <c r="C9" s="104"/>
      <c r="D9" s="104"/>
      <c r="E9" s="104"/>
      <c r="F9" s="104"/>
      <c r="G9" s="104"/>
      <c r="H9" s="104"/>
      <c r="I9" s="104"/>
    </row>
    <row r="10" spans="2:9" x14ac:dyDescent="0.25">
      <c r="B10" s="4">
        <v>1</v>
      </c>
      <c r="C10" s="8" t="s">
        <v>111</v>
      </c>
      <c r="D10" s="4" t="s">
        <v>112</v>
      </c>
      <c r="E10" s="8" t="s">
        <v>4</v>
      </c>
      <c r="F10" s="8" t="s">
        <v>5</v>
      </c>
      <c r="G10" s="8" t="s">
        <v>338</v>
      </c>
      <c r="H10" s="5" t="s">
        <v>15</v>
      </c>
      <c r="I10" s="5" t="s">
        <v>16</v>
      </c>
    </row>
    <row r="11" spans="2:9" x14ac:dyDescent="0.25">
      <c r="B11" s="4">
        <v>2</v>
      </c>
      <c r="C11" s="8" t="s">
        <v>111</v>
      </c>
      <c r="D11" s="4" t="s">
        <v>113</v>
      </c>
      <c r="E11" s="8" t="s">
        <v>4</v>
      </c>
      <c r="F11" s="8" t="s">
        <v>115</v>
      </c>
      <c r="G11" s="8" t="s">
        <v>338</v>
      </c>
      <c r="H11" s="5" t="s">
        <v>15</v>
      </c>
      <c r="I11" s="5" t="s">
        <v>16</v>
      </c>
    </row>
    <row r="12" spans="2:9" x14ac:dyDescent="0.25">
      <c r="B12" s="4">
        <v>3</v>
      </c>
      <c r="C12" s="8" t="s">
        <v>111</v>
      </c>
      <c r="D12" s="4" t="s">
        <v>114</v>
      </c>
      <c r="E12" s="8" t="s">
        <v>4</v>
      </c>
      <c r="F12" s="8" t="s">
        <v>5</v>
      </c>
      <c r="G12" s="8" t="s">
        <v>338</v>
      </c>
      <c r="H12" s="5" t="s">
        <v>15</v>
      </c>
      <c r="I12" s="5" t="s">
        <v>16</v>
      </c>
    </row>
    <row r="13" spans="2:9" x14ac:dyDescent="0.25">
      <c r="B13" s="4">
        <v>4</v>
      </c>
      <c r="C13" s="8" t="s">
        <v>111</v>
      </c>
      <c r="D13" s="4" t="s">
        <v>127</v>
      </c>
      <c r="E13" s="8" t="s">
        <v>4</v>
      </c>
      <c r="F13" s="8" t="s">
        <v>5</v>
      </c>
      <c r="G13" s="8" t="s">
        <v>338</v>
      </c>
      <c r="H13" s="5" t="s">
        <v>15</v>
      </c>
      <c r="I13" s="5" t="s">
        <v>16</v>
      </c>
    </row>
    <row r="15" spans="2:9" x14ac:dyDescent="0.25">
      <c r="C15" s="3" t="s">
        <v>17</v>
      </c>
      <c r="D15" s="3" t="s">
        <v>20</v>
      </c>
      <c r="E15" s="3" t="s">
        <v>21</v>
      </c>
      <c r="F15" s="3" t="s">
        <v>8</v>
      </c>
      <c r="G15" s="2"/>
      <c r="H15" s="102" t="s">
        <v>392</v>
      </c>
      <c r="I15" s="102"/>
    </row>
    <row r="16" spans="2:9" x14ac:dyDescent="0.25">
      <c r="C16" s="4" t="s">
        <v>18</v>
      </c>
      <c r="D16" s="5">
        <f>COUNTIF($G10:$G13,"YES")</f>
        <v>4</v>
      </c>
      <c r="E16" s="5">
        <f>COUNTIFS($H10:$H13,"&lt;&gt;",$H10:$H13,"&lt;&gt;OPEN OFFICE")</f>
        <v>0</v>
      </c>
      <c r="F16" s="5">
        <f>COUNTIFS($I10:$I13,"CAL")</f>
        <v>0</v>
      </c>
      <c r="G16" s="15"/>
      <c r="H16" s="8" t="s">
        <v>107</v>
      </c>
      <c r="I16" s="8">
        <f>COUNTIF(H10:H13,"*2010")</f>
        <v>0</v>
      </c>
    </row>
    <row r="17" spans="3:9" x14ac:dyDescent="0.25">
      <c r="C17" s="4" t="s">
        <v>19</v>
      </c>
      <c r="D17" s="5">
        <f>COUNTIF($G10:$G13,"NO")</f>
        <v>0</v>
      </c>
      <c r="E17" s="5">
        <f>COUNTIFS($H10:$H13,"&lt;&gt;",$H10:$H13,"OPEN OFFICE")</f>
        <v>4</v>
      </c>
      <c r="F17" s="5">
        <f>COUNTIFS($I10:$I13,"NONE")</f>
        <v>0</v>
      </c>
      <c r="G17" s="15"/>
      <c r="H17" s="8" t="s">
        <v>108</v>
      </c>
      <c r="I17" s="8">
        <f>COUNTIF(H10:H13,"*2016")</f>
        <v>0</v>
      </c>
    </row>
    <row r="18" spans="3:9" x14ac:dyDescent="0.25">
      <c r="E18" s="6" t="s">
        <v>16</v>
      </c>
      <c r="F18" s="7">
        <f>COUNTIFS($I10:$I13,"EXCLUDED")</f>
        <v>4</v>
      </c>
      <c r="H18" s="8" t="s">
        <v>393</v>
      </c>
      <c r="I18" s="8">
        <f>COUNTIF(H10:H13,"*2021")</f>
        <v>0</v>
      </c>
    </row>
    <row r="19" spans="3:9" x14ac:dyDescent="0.25">
      <c r="H19" s="8" t="s">
        <v>394</v>
      </c>
      <c r="I19" s="8">
        <f>COUNTIF(H10:H13,"*2024")</f>
        <v>0</v>
      </c>
    </row>
    <row r="20" spans="3:9" x14ac:dyDescent="0.25">
      <c r="C20" s="97" t="s">
        <v>39</v>
      </c>
      <c r="D20" s="97"/>
      <c r="E20" s="97"/>
    </row>
    <row r="21" spans="3:9" x14ac:dyDescent="0.25">
      <c r="C21" s="4"/>
      <c r="D21" s="3" t="s">
        <v>4</v>
      </c>
      <c r="E21" s="3" t="s">
        <v>98</v>
      </c>
    </row>
    <row r="22" spans="3:9" x14ac:dyDescent="0.25">
      <c r="C22" s="27" t="s">
        <v>7</v>
      </c>
      <c r="D22" s="3"/>
      <c r="E22" s="3"/>
    </row>
    <row r="23" spans="3:9" x14ac:dyDescent="0.25">
      <c r="C23" s="5" t="s">
        <v>340</v>
      </c>
      <c r="D23" s="5">
        <f>COUNTIFS($E10:$E13,"LAPTOP",$F10:$F13,"*10*HOME*")</f>
        <v>0</v>
      </c>
      <c r="E23" s="5">
        <f>COUNTIFS($E10:$E13,"DESKTOP",$F10:$F13,"*10*HOME*")</f>
        <v>0</v>
      </c>
    </row>
    <row r="24" spans="3:9" x14ac:dyDescent="0.25">
      <c r="C24" s="5" t="s">
        <v>100</v>
      </c>
      <c r="D24" s="5">
        <f>COUNTIFS($E10:$E13,"LAPTOP",$F10:$F13,"*10*PRO*")</f>
        <v>0</v>
      </c>
      <c r="E24" s="5">
        <f>COUNTIFS($E10:$E13,"DESKTOP",$F10:$F13,"*10*PRO*")</f>
        <v>0</v>
      </c>
    </row>
    <row r="25" spans="3:9" x14ac:dyDescent="0.25">
      <c r="C25" s="27" t="s">
        <v>7</v>
      </c>
      <c r="D25" s="8"/>
      <c r="E25" s="8"/>
    </row>
    <row r="26" spans="3:9" x14ac:dyDescent="0.25">
      <c r="C26" s="8" t="s">
        <v>99</v>
      </c>
      <c r="D26" s="8">
        <f>COUNTIFS($E10:$E13,"LAPTOP",$F10:$F13,"*10*OEM*")</f>
        <v>0</v>
      </c>
      <c r="E26" s="8">
        <f>COUNTIFS($E10:$E13,"DESKTOP",$F10:$F13,"*10*OEM*")</f>
        <v>0</v>
      </c>
    </row>
    <row r="27" spans="3:9" x14ac:dyDescent="0.25">
      <c r="C27" s="8" t="s">
        <v>100</v>
      </c>
      <c r="D27" s="8">
        <f>COUNTIFS($E10:$E13,"LAPTOP",$F10:$F13,"*10*",$F10:$F13,"&lt;&gt;*OEM*")</f>
        <v>0</v>
      </c>
      <c r="E27" s="8">
        <f>COUNTIFS($E10:$E13,"DESKTOP",$F10:$F13,"*10*",$F10:$F13,"&lt;&gt;*OEM*")</f>
        <v>0</v>
      </c>
    </row>
    <row r="28" spans="3:9" x14ac:dyDescent="0.25">
      <c r="C28" s="27" t="s">
        <v>6</v>
      </c>
      <c r="D28" s="8"/>
      <c r="E28" s="8"/>
    </row>
    <row r="29" spans="3:9" x14ac:dyDescent="0.25">
      <c r="C29" s="8" t="s">
        <v>116</v>
      </c>
      <c r="D29" s="8">
        <f>COUNTIFS($E10:$E13,"LAPTOP",$F10:$F13,"*8*OEM*")</f>
        <v>1</v>
      </c>
      <c r="E29" s="8">
        <f>COUNTIFS($E10:$E13,"DESKTOP",$F10:$F13,"*8*OEM*")</f>
        <v>0</v>
      </c>
    </row>
    <row r="30" spans="3:9" x14ac:dyDescent="0.25">
      <c r="C30" s="27" t="s">
        <v>44</v>
      </c>
      <c r="D30" s="8"/>
      <c r="E30" s="8"/>
    </row>
    <row r="31" spans="3:9" x14ac:dyDescent="0.25">
      <c r="C31" s="8" t="s">
        <v>101</v>
      </c>
      <c r="D31" s="8">
        <f>COUNTIFS($E10:$E13,"LAPTOP",$F10:$F13,"*7*GGWA*")</f>
        <v>3</v>
      </c>
      <c r="E31" s="8">
        <f>COUNTIFS($E10:$E13,"DESKTOP",$F10:$F13,"*7*GGWA*")</f>
        <v>0</v>
      </c>
    </row>
    <row r="32" spans="3:9" x14ac:dyDescent="0.25">
      <c r="C32" s="30" t="s">
        <v>45</v>
      </c>
      <c r="D32" s="26">
        <f>SUM(D22:D31)</f>
        <v>4</v>
      </c>
      <c r="E32" s="26">
        <f>SUM(E22:E31)</f>
        <v>0</v>
      </c>
    </row>
    <row r="33" spans="3:9" x14ac:dyDescent="0.25">
      <c r="C33" s="31"/>
      <c r="D33" s="105">
        <f>D32+E32</f>
        <v>4</v>
      </c>
      <c r="E33" s="106"/>
    </row>
    <row r="35" spans="3:9" x14ac:dyDescent="0.25">
      <c r="H35" s="103"/>
      <c r="I35" s="103"/>
    </row>
    <row r="36" spans="3:9" x14ac:dyDescent="0.25">
      <c r="H36" s="12"/>
      <c r="I36" s="1"/>
    </row>
    <row r="37" spans="3:9" x14ac:dyDescent="0.25">
      <c r="H37" s="12"/>
      <c r="I37" s="1"/>
    </row>
    <row r="38" spans="3:9" x14ac:dyDescent="0.25">
      <c r="H38" s="12"/>
      <c r="I38" s="1"/>
    </row>
    <row r="39" spans="3:9" x14ac:dyDescent="0.25">
      <c r="H39" s="12"/>
      <c r="I39" s="1"/>
    </row>
    <row r="40" spans="3:9" x14ac:dyDescent="0.25">
      <c r="H40" s="12"/>
      <c r="I40" s="1"/>
    </row>
    <row r="41" spans="3:9" x14ac:dyDescent="0.25">
      <c r="H41" s="29"/>
      <c r="I41" s="29"/>
    </row>
  </sheetData>
  <mergeCells count="10">
    <mergeCell ref="C20:E20"/>
    <mergeCell ref="H35:I35"/>
    <mergeCell ref="B2:I2"/>
    <mergeCell ref="B3:I3"/>
    <mergeCell ref="B4:I4"/>
    <mergeCell ref="B6:I6"/>
    <mergeCell ref="B8:C8"/>
    <mergeCell ref="B9:I9"/>
    <mergeCell ref="D33:E33"/>
    <mergeCell ref="H15:I15"/>
  </mergeCells>
  <dataValidations count="2">
    <dataValidation type="list" allowBlank="1" showInputMessage="1" showErrorMessage="1" sqref="G10:G13" xr:uid="{00000000-0002-0000-0B00-000000000000}">
      <formula1>"YES, NO"</formula1>
    </dataValidation>
    <dataValidation type="list" allowBlank="1" showInputMessage="1" showErrorMessage="1" sqref="E10:E13" xr:uid="{00000000-0002-0000-0B00-000001000000}">
      <formula1>"Desktop, Laptop"</formula1>
    </dataValidation>
  </dataValidations>
  <pageMargins left="0.25" right="0.25" top="0.75" bottom="0.75" header="0.3" footer="0.3"/>
  <pageSetup scale="67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190"/>
  <sheetViews>
    <sheetView topLeftCell="A157" zoomScale="62" zoomScaleNormal="62" zoomScaleSheetLayoutView="80" workbookViewId="0">
      <selection activeCell="O193" sqref="O193"/>
    </sheetView>
  </sheetViews>
  <sheetFormatPr defaultRowHeight="15" x14ac:dyDescent="0.25"/>
  <cols>
    <col min="3" max="3" width="22.28515625" customWidth="1"/>
    <col min="4" max="4" width="14.28515625" customWidth="1"/>
    <col min="5" max="5" width="17" bestFit="1" customWidth="1"/>
    <col min="6" max="6" width="14.28515625" customWidth="1"/>
    <col min="7" max="7" width="1.7109375" customWidth="1"/>
    <col min="8" max="8" width="29" customWidth="1"/>
    <col min="9" max="9" width="18.7109375" customWidth="1"/>
    <col min="10" max="10" width="17.7109375" bestFit="1" customWidth="1"/>
    <col min="11" max="11" width="10.7109375" customWidth="1"/>
    <col min="12" max="12" width="12" customWidth="1"/>
    <col min="13" max="13" width="25.140625" customWidth="1"/>
    <col min="14" max="14" width="27.7109375" customWidth="1"/>
    <col min="15" max="15" width="27.140625" customWidth="1"/>
    <col min="16" max="16" width="45.7109375" customWidth="1"/>
  </cols>
  <sheetData>
    <row r="1" spans="1:16" ht="23.25" x14ac:dyDescent="0.35">
      <c r="A1" s="122" t="s">
        <v>22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3"/>
      <c r="M1" s="13"/>
    </row>
    <row r="2" spans="1:16" ht="23.25" x14ac:dyDescent="0.35">
      <c r="A2" s="122" t="s">
        <v>23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3"/>
      <c r="M2" s="13"/>
    </row>
    <row r="3" spans="1:16" ht="23.25" x14ac:dyDescent="0.35">
      <c r="A3" s="122" t="s">
        <v>279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3"/>
      <c r="M3" s="13"/>
    </row>
    <row r="4" spans="1:16" ht="23.25" x14ac:dyDescent="0.3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6" ht="23.25" x14ac:dyDescent="0.35">
      <c r="A5" s="119" t="s">
        <v>24</v>
      </c>
      <c r="B5" s="120"/>
      <c r="C5" s="120"/>
      <c r="D5" s="120"/>
      <c r="E5" s="120"/>
      <c r="F5" s="120"/>
      <c r="G5" s="120"/>
      <c r="H5" s="120"/>
      <c r="I5" s="120"/>
      <c r="J5" s="121"/>
      <c r="K5" s="45"/>
      <c r="M5" s="119" t="s">
        <v>38</v>
      </c>
      <c r="N5" s="120"/>
      <c r="O5" s="120"/>
      <c r="P5" s="121"/>
    </row>
    <row r="6" spans="1:16" ht="23.25" x14ac:dyDescent="0.3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M6" s="123" t="s">
        <v>41</v>
      </c>
      <c r="N6" s="124"/>
      <c r="O6" s="125"/>
      <c r="P6" s="49" t="s">
        <v>43</v>
      </c>
    </row>
    <row r="7" spans="1:16" ht="23.25" x14ac:dyDescent="0.35">
      <c r="A7" s="110" t="s">
        <v>17</v>
      </c>
      <c r="B7" s="111"/>
      <c r="C7" s="112"/>
      <c r="D7" s="46" t="s">
        <v>20</v>
      </c>
      <c r="E7" s="46" t="s">
        <v>21</v>
      </c>
      <c r="F7" s="46" t="s">
        <v>8</v>
      </c>
      <c r="G7" s="45"/>
      <c r="H7" s="108" t="s">
        <v>39</v>
      </c>
      <c r="I7" s="108"/>
      <c r="J7" s="108"/>
      <c r="K7" s="45"/>
      <c r="M7" s="126" t="s">
        <v>20</v>
      </c>
      <c r="N7" s="127"/>
      <c r="O7" s="128"/>
    </row>
    <row r="8" spans="1:16" ht="23.25" x14ac:dyDescent="0.35">
      <c r="A8" s="113" t="s">
        <v>18</v>
      </c>
      <c r="B8" s="114"/>
      <c r="C8" s="115"/>
      <c r="D8" s="49">
        <f>'Head Office'!D35</f>
        <v>25</v>
      </c>
      <c r="E8" s="49">
        <f>'Head Office'!E35</f>
        <v>7</v>
      </c>
      <c r="F8" s="49">
        <f>'Head Office'!F35</f>
        <v>1</v>
      </c>
      <c r="G8" s="45"/>
      <c r="H8" s="47"/>
      <c r="I8" s="50" t="s">
        <v>4</v>
      </c>
      <c r="J8" s="50" t="s">
        <v>98</v>
      </c>
      <c r="K8" s="45"/>
      <c r="M8" s="45" t="s">
        <v>333</v>
      </c>
      <c r="N8" s="91">
        <f>SUM(I10:J11,I27:J28,I44:J45,I61:J62,I78:J79,I95:J96,I112:J113,I129:J130,I146:J147,I163:J164)</f>
        <v>23</v>
      </c>
    </row>
    <row r="9" spans="1:16" ht="23.25" x14ac:dyDescent="0.35">
      <c r="A9" s="116" t="s">
        <v>42</v>
      </c>
      <c r="B9" s="117"/>
      <c r="C9" s="118"/>
      <c r="D9" s="49">
        <f>'Head Office'!D36</f>
        <v>0</v>
      </c>
      <c r="E9" s="49">
        <f>'Head Office'!E36</f>
        <v>18</v>
      </c>
      <c r="F9" s="49">
        <f>'Head Office'!F36</f>
        <v>0</v>
      </c>
      <c r="G9" s="45"/>
      <c r="H9" s="88" t="s">
        <v>333</v>
      </c>
      <c r="I9" s="49"/>
      <c r="J9" s="49"/>
      <c r="K9" s="45"/>
      <c r="M9" s="45" t="s">
        <v>7</v>
      </c>
      <c r="N9" s="91">
        <f>SUM(I13:J14,I30:J31,I47:J48,I64:J65,I81:J82,I98:J99,I115:J116,I132:J133,I149:J150,I166:J167)</f>
        <v>55</v>
      </c>
    </row>
    <row r="10" spans="1:16" ht="23.25" x14ac:dyDescent="0.35">
      <c r="A10" s="54"/>
      <c r="B10" s="55"/>
      <c r="C10" s="55"/>
      <c r="D10" s="56"/>
      <c r="E10" s="56" t="s">
        <v>16</v>
      </c>
      <c r="F10" s="49">
        <f>'Head Office'!F37</f>
        <v>24</v>
      </c>
      <c r="G10" s="45"/>
      <c r="H10" s="53" t="s">
        <v>340</v>
      </c>
      <c r="I10" s="49">
        <f>'Head Office'!D42</f>
        <v>0</v>
      </c>
      <c r="J10" s="49">
        <f>'Head Office'!E42</f>
        <v>0</v>
      </c>
      <c r="K10" s="45"/>
      <c r="M10" s="45" t="s">
        <v>6</v>
      </c>
      <c r="N10" s="91">
        <f>SUM(I15:J15,I32:J32,I49:J49,I66:J66,I83:J83,I100:J100,I117:J117,I134:J134,I151:J151,I168:J168)</f>
        <v>0</v>
      </c>
    </row>
    <row r="11" spans="1:16" ht="23.25" x14ac:dyDescent="0.35">
      <c r="A11" s="58"/>
      <c r="B11" s="58"/>
      <c r="C11" s="58"/>
      <c r="D11" s="59"/>
      <c r="E11" s="59"/>
      <c r="F11" s="59"/>
      <c r="G11" s="45"/>
      <c r="H11" s="53" t="s">
        <v>100</v>
      </c>
      <c r="I11" s="49">
        <f>'Head Office'!D43</f>
        <v>6</v>
      </c>
      <c r="J11" s="49">
        <f>'Head Office'!E43</f>
        <v>2</v>
      </c>
      <c r="K11" s="45"/>
      <c r="M11" s="45" t="s">
        <v>44</v>
      </c>
      <c r="N11" s="91">
        <f>SUM(I17:J18,I34:J35,I51:J52,I68:J69,I85:J86,I102:J103,I119:J120,I136:J137,I153:J154,I170:J171)</f>
        <v>31</v>
      </c>
    </row>
    <row r="12" spans="1:16" ht="23.25" x14ac:dyDescent="0.35">
      <c r="B12" s="92" t="s">
        <v>392</v>
      </c>
      <c r="C12" s="92"/>
      <c r="D12" s="92"/>
      <c r="E12" s="59"/>
      <c r="F12" s="59"/>
      <c r="G12" s="45"/>
      <c r="H12" s="88" t="s">
        <v>7</v>
      </c>
      <c r="I12" s="49"/>
      <c r="J12" s="49"/>
      <c r="K12" s="45"/>
    </row>
    <row r="13" spans="1:16" ht="23.25" x14ac:dyDescent="0.35">
      <c r="B13" s="47" t="s">
        <v>107</v>
      </c>
      <c r="C13" s="47"/>
      <c r="D13" s="49">
        <f>'Head Office'!I35</f>
        <v>3</v>
      </c>
      <c r="E13" s="59"/>
      <c r="F13" s="59"/>
      <c r="G13" s="45"/>
      <c r="H13" s="53" t="s">
        <v>99</v>
      </c>
      <c r="I13" s="49">
        <f>'Head Office'!D45</f>
        <v>5</v>
      </c>
      <c r="J13" s="49">
        <f>'Head Office'!E45</f>
        <v>0</v>
      </c>
      <c r="K13" s="45"/>
    </row>
    <row r="14" spans="1:16" ht="23.25" x14ac:dyDescent="0.35">
      <c r="B14" s="47" t="s">
        <v>108</v>
      </c>
      <c r="C14" s="47"/>
      <c r="D14" s="49">
        <f>'Head Office'!I36</f>
        <v>0</v>
      </c>
      <c r="E14" s="59"/>
      <c r="F14" s="59"/>
      <c r="G14" s="45"/>
      <c r="H14" s="53" t="s">
        <v>100</v>
      </c>
      <c r="I14" s="49">
        <f>'Head Office'!D46</f>
        <v>1</v>
      </c>
      <c r="J14" s="49">
        <f>'Head Office'!E46</f>
        <v>7</v>
      </c>
      <c r="K14" s="45"/>
      <c r="M14" s="46" t="s">
        <v>103</v>
      </c>
      <c r="N14" s="50">
        <f>SUM(N8:N13)</f>
        <v>109</v>
      </c>
    </row>
    <row r="15" spans="1:16" ht="23.25" x14ac:dyDescent="0.35">
      <c r="B15" s="47" t="s">
        <v>393</v>
      </c>
      <c r="C15" s="47"/>
      <c r="D15" s="49">
        <f>'Head Office'!I37</f>
        <v>1</v>
      </c>
      <c r="E15" s="59"/>
      <c r="F15" s="59"/>
      <c r="G15" s="45"/>
      <c r="H15" s="88" t="s">
        <v>6</v>
      </c>
      <c r="I15" s="49">
        <f>'Head Office'!D47</f>
        <v>0</v>
      </c>
      <c r="J15" s="49">
        <f>'Head Office'!E47</f>
        <v>0</v>
      </c>
      <c r="K15" s="45"/>
      <c r="L15" s="15"/>
      <c r="M15" s="46" t="s">
        <v>40</v>
      </c>
      <c r="N15" s="4"/>
    </row>
    <row r="16" spans="1:16" ht="23.25" x14ac:dyDescent="0.35">
      <c r="B16" s="47" t="s">
        <v>394</v>
      </c>
      <c r="C16" s="47"/>
      <c r="D16" s="49">
        <f>'Head Office'!I38</f>
        <v>2</v>
      </c>
      <c r="E16" s="59"/>
      <c r="F16" s="59"/>
      <c r="G16" s="45"/>
      <c r="H16" s="88" t="s">
        <v>44</v>
      </c>
      <c r="I16" s="49"/>
      <c r="J16" s="49"/>
      <c r="K16" s="45"/>
      <c r="L16" s="15"/>
      <c r="M16" s="49" t="s">
        <v>107</v>
      </c>
      <c r="N16" s="53">
        <f>'Head Office'!I35+'Main Office'!I24+'Jasaan Branch'!I29+'Salay Branch'!I23+'CDO Branch'!I29+'Maramag Branch'!I21+'Gingoog BL'!I18+'Camiguin BL'!I16+'Butuan BL'!I17+'Kibawe BL'!I17+Spare!I16</f>
        <v>23</v>
      </c>
      <c r="O16" s="107"/>
      <c r="P16" s="107"/>
    </row>
    <row r="17" spans="1:16" ht="23.25" x14ac:dyDescent="0.35">
      <c r="A17" s="58"/>
      <c r="B17" s="58"/>
      <c r="C17" s="58"/>
      <c r="D17" s="59"/>
      <c r="E17" s="59"/>
      <c r="F17" s="59"/>
      <c r="G17" s="45"/>
      <c r="H17" s="53" t="s">
        <v>348</v>
      </c>
      <c r="I17" s="49">
        <f>'Head Office'!D49</f>
        <v>0</v>
      </c>
      <c r="J17" s="49">
        <f>'Head Office'!E49</f>
        <v>0</v>
      </c>
      <c r="K17" s="45"/>
      <c r="L17" s="15"/>
      <c r="M17" s="49" t="s">
        <v>108</v>
      </c>
      <c r="N17" s="53">
        <f>'Head Office'!I36+'Main Office'!I25+'Jasaan Branch'!I30+'Salay Branch'!I24+'CDO Branch'!I30+'Maramag Branch'!I22+'Gingoog BL'!I19+'Camiguin BL'!I17+'Butuan BL'!I18+'Kibawe BL'!I18+Spare!I17</f>
        <v>9</v>
      </c>
    </row>
    <row r="18" spans="1:16" ht="23.25" x14ac:dyDescent="0.35">
      <c r="A18" s="58"/>
      <c r="B18" s="58"/>
      <c r="C18" s="58"/>
      <c r="D18" s="59"/>
      <c r="E18" s="59"/>
      <c r="F18" s="59"/>
      <c r="G18" s="45"/>
      <c r="H18" s="53" t="s">
        <v>101</v>
      </c>
      <c r="I18" s="49">
        <f>'Head Office'!D50</f>
        <v>0</v>
      </c>
      <c r="J18" s="49">
        <f>'Head Office'!E50</f>
        <v>3</v>
      </c>
      <c r="K18" s="45"/>
      <c r="L18" s="15"/>
      <c r="M18" s="49" t="s">
        <v>393</v>
      </c>
      <c r="N18" s="53">
        <f>'Head Office'!I37+'Main Office'!I26+'Jasaan Branch'!I31+'Salay Branch'!I25+'CDO Branch'!I31+'Maramag Branch'!I23+'Gingoog BL'!I20+'Camiguin BL'!I18+'Butuan BL'!I19+'Kibawe BL'!I19+Spare!I18</f>
        <v>1</v>
      </c>
      <c r="O18" s="107"/>
      <c r="P18" s="107"/>
    </row>
    <row r="19" spans="1:16" ht="23.25" x14ac:dyDescent="0.35">
      <c r="A19" s="58"/>
      <c r="B19" s="58"/>
      <c r="C19" s="58"/>
      <c r="D19" s="59"/>
      <c r="E19" s="59"/>
      <c r="F19" s="59"/>
      <c r="G19" s="45"/>
      <c r="H19" s="108" t="s">
        <v>45</v>
      </c>
      <c r="I19" s="46">
        <f>SUM(I9:I18)</f>
        <v>12</v>
      </c>
      <c r="J19" s="46">
        <f>SUM(J9:J18)</f>
        <v>12</v>
      </c>
      <c r="K19" s="45"/>
      <c r="M19" s="49" t="s">
        <v>394</v>
      </c>
      <c r="N19" s="53">
        <f>'Head Office'!I38+'Main Office'!I27+'Jasaan Branch'!I32+'Salay Branch'!I26+'CDO Branch'!I32+'Maramag Branch'!I24+'Gingoog BL'!I21+'Camiguin BL'!I19+'Butuan BL'!I20+'Kibawe BL'!I20+Spare!I19</f>
        <v>4</v>
      </c>
    </row>
    <row r="20" spans="1:16" ht="23.25" x14ac:dyDescent="0.35">
      <c r="A20" s="58"/>
      <c r="B20" s="58"/>
      <c r="C20" s="58"/>
      <c r="D20" s="59"/>
      <c r="E20" s="59"/>
      <c r="F20" s="59"/>
      <c r="G20" s="45"/>
      <c r="H20" s="108"/>
      <c r="I20" s="109">
        <f>I19+J19</f>
        <v>24</v>
      </c>
      <c r="J20" s="109"/>
      <c r="K20" s="45"/>
      <c r="M20" s="50" t="s">
        <v>103</v>
      </c>
      <c r="N20" s="50">
        <f>SUM(N16:N19)</f>
        <v>37</v>
      </c>
    </row>
    <row r="22" spans="1:16" ht="23.25" x14ac:dyDescent="0.35">
      <c r="A22" s="119" t="s">
        <v>25</v>
      </c>
      <c r="B22" s="120"/>
      <c r="C22" s="120"/>
      <c r="D22" s="120"/>
      <c r="E22" s="120"/>
      <c r="F22" s="120"/>
      <c r="G22" s="120"/>
      <c r="H22" s="120"/>
      <c r="I22" s="120"/>
      <c r="J22" s="121"/>
      <c r="K22" s="45"/>
    </row>
    <row r="23" spans="1:16" ht="23.25" x14ac:dyDescent="0.3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spans="1:16" ht="23.25" x14ac:dyDescent="0.35">
      <c r="A24" s="110" t="s">
        <v>17</v>
      </c>
      <c r="B24" s="111"/>
      <c r="C24" s="112"/>
      <c r="D24" s="46" t="s">
        <v>20</v>
      </c>
      <c r="E24" s="46" t="s">
        <v>21</v>
      </c>
      <c r="F24" s="46" t="s">
        <v>8</v>
      </c>
      <c r="G24" s="45"/>
      <c r="H24" s="108" t="s">
        <v>39</v>
      </c>
      <c r="I24" s="108"/>
      <c r="J24" s="108"/>
      <c r="K24" s="45"/>
    </row>
    <row r="25" spans="1:16" ht="23.25" x14ac:dyDescent="0.35">
      <c r="A25" s="113" t="s">
        <v>18</v>
      </c>
      <c r="B25" s="114"/>
      <c r="C25" s="115"/>
      <c r="D25" s="49">
        <f>'Main Office'!D24</f>
        <v>12</v>
      </c>
      <c r="E25" s="49">
        <f>'Main Office'!E24</f>
        <v>7</v>
      </c>
      <c r="F25" s="49">
        <f>'Main Office'!F24</f>
        <v>8</v>
      </c>
      <c r="G25" s="45"/>
      <c r="H25" s="47"/>
      <c r="I25" s="50" t="s">
        <v>4</v>
      </c>
      <c r="J25" s="50" t="s">
        <v>98</v>
      </c>
      <c r="K25" s="45"/>
    </row>
    <row r="26" spans="1:16" ht="23.25" x14ac:dyDescent="0.35">
      <c r="A26" s="116" t="s">
        <v>42</v>
      </c>
      <c r="B26" s="117"/>
      <c r="C26" s="118"/>
      <c r="D26" s="49">
        <f>'Main Office'!D25</f>
        <v>0</v>
      </c>
      <c r="E26" s="49">
        <f>'Main Office'!E25</f>
        <v>5</v>
      </c>
      <c r="F26" s="49">
        <f>'Main Office'!F25</f>
        <v>4</v>
      </c>
      <c r="G26" s="45"/>
      <c r="H26" s="88" t="s">
        <v>333</v>
      </c>
      <c r="I26" s="49"/>
      <c r="J26" s="49"/>
      <c r="K26" s="45"/>
    </row>
    <row r="27" spans="1:16" ht="23.25" x14ac:dyDescent="0.35">
      <c r="A27" s="54"/>
      <c r="B27" s="55"/>
      <c r="C27" s="55"/>
      <c r="D27" s="56"/>
      <c r="E27" s="56" t="s">
        <v>16</v>
      </c>
      <c r="F27" s="49">
        <f>'Main Office'!F26</f>
        <v>0</v>
      </c>
      <c r="G27" s="45"/>
      <c r="H27" s="53" t="s">
        <v>340</v>
      </c>
      <c r="I27" s="49">
        <f>'Main Office'!D32</f>
        <v>0</v>
      </c>
      <c r="J27" s="49">
        <f>'Main Office'!E32</f>
        <v>0</v>
      </c>
      <c r="K27" s="45"/>
    </row>
    <row r="28" spans="1:16" ht="23.25" x14ac:dyDescent="0.35">
      <c r="A28" s="58"/>
      <c r="B28" s="58"/>
      <c r="C28" s="58"/>
      <c r="D28" s="59"/>
      <c r="E28" s="59"/>
      <c r="F28" s="59"/>
      <c r="G28" s="45"/>
      <c r="H28" s="53" t="s">
        <v>100</v>
      </c>
      <c r="I28" s="49">
        <f>'Main Office'!D33</f>
        <v>0</v>
      </c>
      <c r="J28" s="49">
        <f>'Main Office'!E33</f>
        <v>0</v>
      </c>
      <c r="K28" s="45"/>
    </row>
    <row r="29" spans="1:16" ht="23.25" x14ac:dyDescent="0.35">
      <c r="A29" s="58"/>
      <c r="B29" s="92" t="s">
        <v>392</v>
      </c>
      <c r="C29" s="92"/>
      <c r="D29" s="92"/>
      <c r="E29" s="59"/>
      <c r="F29" s="59"/>
      <c r="G29" s="45"/>
      <c r="H29" s="88" t="s">
        <v>7</v>
      </c>
      <c r="I29" s="49"/>
      <c r="J29" s="49"/>
      <c r="K29" s="45"/>
    </row>
    <row r="30" spans="1:16" ht="23.25" x14ac:dyDescent="0.35">
      <c r="A30" s="58"/>
      <c r="B30" s="47" t="s">
        <v>107</v>
      </c>
      <c r="C30" s="47"/>
      <c r="D30" s="49">
        <f>'Main Office'!I24</f>
        <v>5</v>
      </c>
      <c r="E30" s="59"/>
      <c r="F30" s="59"/>
      <c r="G30" s="45"/>
      <c r="H30" s="53" t="s">
        <v>99</v>
      </c>
      <c r="I30" s="49">
        <f>'Main Office'!D35</f>
        <v>0</v>
      </c>
      <c r="J30" s="49">
        <f>'Main Office'!E35</f>
        <v>0</v>
      </c>
      <c r="K30" s="45"/>
    </row>
    <row r="31" spans="1:16" ht="23.25" x14ac:dyDescent="0.35">
      <c r="A31" s="58"/>
      <c r="B31" s="47" t="s">
        <v>108</v>
      </c>
      <c r="C31" s="47"/>
      <c r="D31" s="49">
        <f>'Main Office'!I25</f>
        <v>1</v>
      </c>
      <c r="E31" s="59"/>
      <c r="F31" s="59"/>
      <c r="G31" s="45"/>
      <c r="H31" s="53" t="s">
        <v>100</v>
      </c>
      <c r="I31" s="49">
        <f>'Main Office'!D36</f>
        <v>0</v>
      </c>
      <c r="J31" s="49">
        <f>'Main Office'!E36</f>
        <v>11</v>
      </c>
      <c r="K31" s="45"/>
    </row>
    <row r="32" spans="1:16" ht="23.25" x14ac:dyDescent="0.35">
      <c r="A32" s="58"/>
      <c r="B32" s="47" t="s">
        <v>393</v>
      </c>
      <c r="C32" s="47"/>
      <c r="D32" s="49">
        <f>'Main Office'!I26</f>
        <v>0</v>
      </c>
      <c r="E32" s="59"/>
      <c r="F32" s="59"/>
      <c r="G32" s="45"/>
      <c r="H32" s="88" t="s">
        <v>6</v>
      </c>
      <c r="I32" s="49"/>
      <c r="J32" s="49"/>
      <c r="K32" s="45"/>
      <c r="L32" s="15"/>
    </row>
    <row r="33" spans="1:16" ht="23.25" x14ac:dyDescent="0.35">
      <c r="A33" s="58"/>
      <c r="B33" s="47" t="s">
        <v>394</v>
      </c>
      <c r="C33" s="47"/>
      <c r="D33" s="49">
        <f>'Main Office'!I27</f>
        <v>0</v>
      </c>
      <c r="E33" s="59"/>
      <c r="F33" s="59"/>
      <c r="G33" s="45"/>
      <c r="H33" s="88" t="s">
        <v>44</v>
      </c>
      <c r="I33" s="49"/>
      <c r="J33" s="49"/>
      <c r="K33" s="45"/>
      <c r="L33" s="15"/>
      <c r="O33" s="107"/>
      <c r="P33" s="107"/>
    </row>
    <row r="34" spans="1:16" ht="23.25" x14ac:dyDescent="0.35">
      <c r="A34" s="58"/>
      <c r="B34" s="58"/>
      <c r="C34" s="58"/>
      <c r="D34" s="59"/>
      <c r="E34" s="59"/>
      <c r="F34" s="59"/>
      <c r="G34" s="45"/>
      <c r="H34" s="53" t="s">
        <v>348</v>
      </c>
      <c r="I34" s="49">
        <f>'Main Office'!D39</f>
        <v>0</v>
      </c>
      <c r="J34" s="49">
        <f>'Main Office'!E39</f>
        <v>0</v>
      </c>
      <c r="K34" s="45"/>
      <c r="L34" s="15"/>
    </row>
    <row r="35" spans="1:16" ht="23.25" x14ac:dyDescent="0.35">
      <c r="A35" s="58"/>
      <c r="B35" s="58"/>
      <c r="C35" s="58"/>
      <c r="D35" s="59"/>
      <c r="E35" s="59"/>
      <c r="F35" s="59"/>
      <c r="G35" s="45"/>
      <c r="H35" s="53" t="s">
        <v>101</v>
      </c>
      <c r="I35" s="49">
        <f>'Main Office'!D40</f>
        <v>0</v>
      </c>
      <c r="J35" s="49">
        <f>'Main Office'!E40</f>
        <v>0</v>
      </c>
      <c r="K35" s="45"/>
      <c r="L35" s="15"/>
      <c r="O35" s="107"/>
      <c r="P35" s="107"/>
    </row>
    <row r="36" spans="1:16" ht="23.25" x14ac:dyDescent="0.35">
      <c r="A36" s="58"/>
      <c r="B36" s="58"/>
      <c r="C36" s="58"/>
      <c r="D36" s="59"/>
      <c r="E36" s="59"/>
      <c r="F36" s="59"/>
      <c r="G36" s="45"/>
      <c r="H36" s="108" t="s">
        <v>45</v>
      </c>
      <c r="I36" s="46">
        <f>SUM(I26:I35)</f>
        <v>0</v>
      </c>
      <c r="J36" s="46">
        <f>SUM(J26:J35)</f>
        <v>11</v>
      </c>
      <c r="K36" s="45"/>
    </row>
    <row r="37" spans="1:16" ht="23.25" x14ac:dyDescent="0.35">
      <c r="A37" s="58"/>
      <c r="B37" s="58"/>
      <c r="C37" s="58"/>
      <c r="D37" s="59"/>
      <c r="E37" s="59"/>
      <c r="F37" s="59"/>
      <c r="G37" s="45"/>
      <c r="H37" s="108"/>
      <c r="I37" s="109">
        <f>I36+J36</f>
        <v>11</v>
      </c>
      <c r="J37" s="109"/>
      <c r="K37" s="45"/>
    </row>
    <row r="39" spans="1:16" ht="23.25" x14ac:dyDescent="0.35">
      <c r="A39" s="119" t="s">
        <v>365</v>
      </c>
      <c r="B39" s="120"/>
      <c r="C39" s="120"/>
      <c r="D39" s="120"/>
      <c r="E39" s="120"/>
      <c r="F39" s="120"/>
      <c r="G39" s="120"/>
      <c r="H39" s="120"/>
      <c r="I39" s="120"/>
      <c r="J39" s="121"/>
      <c r="K39" s="45"/>
    </row>
    <row r="40" spans="1:16" ht="23.25" x14ac:dyDescent="0.3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</row>
    <row r="41" spans="1:16" ht="23.25" x14ac:dyDescent="0.35">
      <c r="A41" s="110" t="s">
        <v>17</v>
      </c>
      <c r="B41" s="111"/>
      <c r="C41" s="112"/>
      <c r="D41" s="46" t="s">
        <v>20</v>
      </c>
      <c r="E41" s="46" t="s">
        <v>21</v>
      </c>
      <c r="F41" s="46" t="s">
        <v>8</v>
      </c>
      <c r="G41" s="45"/>
      <c r="H41" s="108" t="s">
        <v>39</v>
      </c>
      <c r="I41" s="108"/>
      <c r="J41" s="108"/>
      <c r="K41" s="45"/>
    </row>
    <row r="42" spans="1:16" ht="23.25" x14ac:dyDescent="0.35">
      <c r="A42" s="113" t="s">
        <v>18</v>
      </c>
      <c r="B42" s="114"/>
      <c r="C42" s="115"/>
      <c r="D42" s="49">
        <f>'Jasaan Branch'!D29</f>
        <v>17</v>
      </c>
      <c r="E42" s="49">
        <f>'Jasaan Branch'!E29</f>
        <v>7</v>
      </c>
      <c r="F42" s="49">
        <f>'Jasaan Branch'!F29</f>
        <v>11</v>
      </c>
      <c r="G42" s="45"/>
      <c r="H42" s="47"/>
      <c r="I42" s="50" t="s">
        <v>4</v>
      </c>
      <c r="J42" s="50" t="s">
        <v>98</v>
      </c>
      <c r="K42" s="45"/>
    </row>
    <row r="43" spans="1:16" ht="23.25" x14ac:dyDescent="0.35">
      <c r="A43" s="116" t="s">
        <v>42</v>
      </c>
      <c r="B43" s="117"/>
      <c r="C43" s="118"/>
      <c r="D43" s="49">
        <f>'Jasaan Branch'!D30</f>
        <v>0</v>
      </c>
      <c r="E43" s="49">
        <f>'Jasaan Branch'!E30</f>
        <v>10</v>
      </c>
      <c r="F43" s="49">
        <f>'Jasaan Branch'!F30</f>
        <v>4</v>
      </c>
      <c r="G43" s="45"/>
      <c r="H43" s="88" t="s">
        <v>333</v>
      </c>
      <c r="I43" s="49"/>
      <c r="J43" s="49"/>
      <c r="K43" s="45"/>
    </row>
    <row r="44" spans="1:16" ht="23.25" x14ac:dyDescent="0.35">
      <c r="A44" s="54"/>
      <c r="B44" s="55"/>
      <c r="C44" s="55"/>
      <c r="D44" s="56"/>
      <c r="E44" s="56" t="s">
        <v>16</v>
      </c>
      <c r="F44" s="49">
        <f>'Jasaan Branch'!F31</f>
        <v>2</v>
      </c>
      <c r="G44" s="45"/>
      <c r="H44" s="53" t="s">
        <v>340</v>
      </c>
      <c r="I44" s="49">
        <f>'Jasaan Branch'!D36</f>
        <v>0</v>
      </c>
      <c r="J44" s="49">
        <f>'Jasaan Branch'!E36</f>
        <v>0</v>
      </c>
      <c r="K44" s="45"/>
    </row>
    <row r="45" spans="1:16" ht="23.25" x14ac:dyDescent="0.35">
      <c r="A45" s="58"/>
      <c r="B45" s="58"/>
      <c r="C45" s="58"/>
      <c r="D45" s="59"/>
      <c r="E45" s="59"/>
      <c r="F45" s="59"/>
      <c r="G45" s="45"/>
      <c r="H45" s="53" t="s">
        <v>100</v>
      </c>
      <c r="I45" s="49">
        <f>'Jasaan Branch'!D37</f>
        <v>1</v>
      </c>
      <c r="J45" s="49">
        <f>'Jasaan Branch'!E37</f>
        <v>0</v>
      </c>
      <c r="K45" s="45"/>
    </row>
    <row r="46" spans="1:16" ht="23.25" x14ac:dyDescent="0.35">
      <c r="A46" s="58"/>
      <c r="B46" s="92" t="s">
        <v>392</v>
      </c>
      <c r="C46" s="92"/>
      <c r="D46" s="92"/>
      <c r="E46" s="59"/>
      <c r="F46" s="59"/>
      <c r="G46" s="45"/>
      <c r="H46" s="88" t="s">
        <v>7</v>
      </c>
      <c r="I46" s="49"/>
      <c r="J46" s="49"/>
      <c r="K46" s="45"/>
    </row>
    <row r="47" spans="1:16" ht="23.25" x14ac:dyDescent="0.35">
      <c r="A47" s="58"/>
      <c r="B47" s="47" t="s">
        <v>107</v>
      </c>
      <c r="C47" s="47"/>
      <c r="D47" s="49">
        <f>'Jasaan Branch'!I29</f>
        <v>4</v>
      </c>
      <c r="E47" s="59"/>
      <c r="F47" s="59"/>
      <c r="G47" s="45"/>
      <c r="H47" s="53" t="s">
        <v>99</v>
      </c>
      <c r="I47" s="49">
        <f>'Jasaan Branch'!D39</f>
        <v>0</v>
      </c>
      <c r="J47" s="49">
        <f>'Jasaan Branch'!E39</f>
        <v>1</v>
      </c>
      <c r="K47" s="45"/>
    </row>
    <row r="48" spans="1:16" ht="23.25" x14ac:dyDescent="0.35">
      <c r="A48" s="58"/>
      <c r="B48" s="47" t="s">
        <v>108</v>
      </c>
      <c r="C48" s="47"/>
      <c r="D48" s="49">
        <f>'Jasaan Branch'!I30</f>
        <v>1</v>
      </c>
      <c r="E48" s="59"/>
      <c r="F48" s="59"/>
      <c r="G48" s="45"/>
      <c r="H48" s="53" t="s">
        <v>100</v>
      </c>
      <c r="I48" s="49">
        <f>'Jasaan Branch'!D40</f>
        <v>0</v>
      </c>
      <c r="J48" s="49">
        <f>'Jasaan Branch'!E40</f>
        <v>7</v>
      </c>
      <c r="K48" s="45"/>
    </row>
    <row r="49" spans="1:16" ht="23.25" x14ac:dyDescent="0.35">
      <c r="A49" s="58"/>
      <c r="B49" s="47" t="s">
        <v>393</v>
      </c>
      <c r="C49" s="47"/>
      <c r="D49" s="49">
        <f>'Jasaan Branch'!I31</f>
        <v>0</v>
      </c>
      <c r="E49" s="59"/>
      <c r="F49" s="59"/>
      <c r="G49" s="45"/>
      <c r="H49" s="88" t="s">
        <v>6</v>
      </c>
      <c r="I49" s="49"/>
      <c r="J49" s="49"/>
      <c r="K49" s="45"/>
      <c r="L49" s="15"/>
    </row>
    <row r="50" spans="1:16" ht="23.25" x14ac:dyDescent="0.35">
      <c r="A50" s="58"/>
      <c r="B50" s="47" t="s">
        <v>394</v>
      </c>
      <c r="C50" s="47"/>
      <c r="D50" s="49">
        <f>'Jasaan Branch'!I32</f>
        <v>1</v>
      </c>
      <c r="E50" s="59"/>
      <c r="F50" s="59"/>
      <c r="G50" s="45"/>
      <c r="H50" s="88" t="s">
        <v>44</v>
      </c>
      <c r="I50" s="49"/>
      <c r="J50" s="49"/>
      <c r="K50" s="45"/>
      <c r="L50" s="15"/>
      <c r="O50" s="107"/>
      <c r="P50" s="107"/>
    </row>
    <row r="51" spans="1:16" ht="23.25" x14ac:dyDescent="0.35">
      <c r="A51" s="58"/>
      <c r="B51" s="58"/>
      <c r="C51" s="58"/>
      <c r="D51" s="59"/>
      <c r="E51" s="59"/>
      <c r="F51" s="59"/>
      <c r="G51" s="45"/>
      <c r="H51" s="53" t="s">
        <v>348</v>
      </c>
      <c r="I51" s="49">
        <f>'Jasaan Branch'!D42</f>
        <v>0</v>
      </c>
      <c r="J51" s="49">
        <f>'Jasaan Branch'!E42</f>
        <v>1</v>
      </c>
      <c r="K51" s="45"/>
      <c r="L51" s="15"/>
    </row>
    <row r="52" spans="1:16" ht="23.25" x14ac:dyDescent="0.35">
      <c r="A52" s="58"/>
      <c r="B52" s="58"/>
      <c r="C52" s="58"/>
      <c r="D52" s="59"/>
      <c r="E52" s="59"/>
      <c r="F52" s="59"/>
      <c r="G52" s="45"/>
      <c r="H52" s="53" t="s">
        <v>101</v>
      </c>
      <c r="I52" s="49">
        <f>'Jasaan Branch'!D43</f>
        <v>0</v>
      </c>
      <c r="J52" s="49">
        <f>'Jasaan Branch'!E43</f>
        <v>7</v>
      </c>
      <c r="K52" s="45"/>
      <c r="L52" s="15"/>
      <c r="O52" s="107"/>
      <c r="P52" s="107"/>
    </row>
    <row r="53" spans="1:16" ht="23.25" x14ac:dyDescent="0.35">
      <c r="A53" s="58"/>
      <c r="B53" s="58"/>
      <c r="C53" s="58"/>
      <c r="D53" s="59"/>
      <c r="E53" s="59"/>
      <c r="F53" s="59"/>
      <c r="G53" s="45"/>
      <c r="H53" s="108" t="s">
        <v>45</v>
      </c>
      <c r="I53" s="46">
        <f>SUM(I43:I52)</f>
        <v>1</v>
      </c>
      <c r="J53" s="46">
        <f>SUM(J43:J52)</f>
        <v>16</v>
      </c>
      <c r="K53" s="45"/>
    </row>
    <row r="54" spans="1:16" ht="23.25" x14ac:dyDescent="0.35">
      <c r="A54" s="58"/>
      <c r="B54" s="58"/>
      <c r="C54" s="58"/>
      <c r="D54" s="59"/>
      <c r="E54" s="59"/>
      <c r="F54" s="59"/>
      <c r="G54" s="45"/>
      <c r="H54" s="108"/>
      <c r="I54" s="109">
        <f>I53+J53</f>
        <v>17</v>
      </c>
      <c r="J54" s="109"/>
      <c r="K54" s="45"/>
    </row>
    <row r="56" spans="1:16" ht="23.25" x14ac:dyDescent="0.35">
      <c r="A56" s="119" t="s">
        <v>366</v>
      </c>
      <c r="B56" s="120"/>
      <c r="C56" s="120"/>
      <c r="D56" s="120"/>
      <c r="E56" s="120"/>
      <c r="F56" s="120"/>
      <c r="G56" s="120"/>
      <c r="H56" s="120"/>
      <c r="I56" s="120"/>
      <c r="J56" s="121"/>
      <c r="K56" s="45"/>
    </row>
    <row r="57" spans="1:16" ht="23.25" x14ac:dyDescent="0.3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</row>
    <row r="58" spans="1:16" ht="23.25" x14ac:dyDescent="0.35">
      <c r="A58" s="110" t="s">
        <v>17</v>
      </c>
      <c r="B58" s="111"/>
      <c r="C58" s="112"/>
      <c r="D58" s="46" t="s">
        <v>20</v>
      </c>
      <c r="E58" s="46" t="s">
        <v>21</v>
      </c>
      <c r="F58" s="46" t="s">
        <v>8</v>
      </c>
      <c r="G58" s="45"/>
      <c r="H58" s="108" t="s">
        <v>39</v>
      </c>
      <c r="I58" s="108"/>
      <c r="J58" s="108"/>
      <c r="K58" s="45"/>
    </row>
    <row r="59" spans="1:16" ht="23.25" x14ac:dyDescent="0.35">
      <c r="A59" s="113" t="s">
        <v>18</v>
      </c>
      <c r="B59" s="114"/>
      <c r="C59" s="115"/>
      <c r="D59" s="49">
        <f>'Salay Branch'!D23</f>
        <v>11</v>
      </c>
      <c r="E59" s="49">
        <f>'Salay Branch'!E23</f>
        <v>5</v>
      </c>
      <c r="F59" s="49">
        <f>'Salay Branch'!F23</f>
        <v>8</v>
      </c>
      <c r="G59" s="45"/>
      <c r="H59" s="47"/>
      <c r="I59" s="50" t="s">
        <v>4</v>
      </c>
      <c r="J59" s="50" t="s">
        <v>98</v>
      </c>
      <c r="K59" s="45"/>
    </row>
    <row r="60" spans="1:16" ht="23.25" x14ac:dyDescent="0.35">
      <c r="A60" s="116" t="s">
        <v>42</v>
      </c>
      <c r="B60" s="117"/>
      <c r="C60" s="118"/>
      <c r="D60" s="49">
        <f>'Salay Branch'!D24</f>
        <v>0</v>
      </c>
      <c r="E60" s="49">
        <f>'Salay Branch'!E24</f>
        <v>6</v>
      </c>
      <c r="F60" s="49">
        <f>'Salay Branch'!F24</f>
        <v>3</v>
      </c>
      <c r="G60" s="45"/>
      <c r="H60" s="88" t="s">
        <v>333</v>
      </c>
      <c r="I60" s="49"/>
      <c r="J60" s="49"/>
      <c r="K60" s="45"/>
    </row>
    <row r="61" spans="1:16" ht="23.25" x14ac:dyDescent="0.35">
      <c r="A61" s="54"/>
      <c r="B61" s="55"/>
      <c r="C61" s="55"/>
      <c r="D61" s="56"/>
      <c r="E61" s="56" t="s">
        <v>16</v>
      </c>
      <c r="F61" s="49">
        <f>'Salay Branch'!F25</f>
        <v>0</v>
      </c>
      <c r="G61" s="45"/>
      <c r="H61" s="53" t="s">
        <v>340</v>
      </c>
      <c r="I61" s="49">
        <f>'Salay Branch'!D30</f>
        <v>1</v>
      </c>
      <c r="J61" s="49">
        <f>'Salay Branch'!E30</f>
        <v>0</v>
      </c>
      <c r="K61" s="45"/>
    </row>
    <row r="62" spans="1:16" ht="23.25" x14ac:dyDescent="0.35">
      <c r="A62" s="58"/>
      <c r="B62" s="58"/>
      <c r="C62" s="58"/>
      <c r="D62" s="59"/>
      <c r="E62" s="59"/>
      <c r="F62" s="59"/>
      <c r="G62" s="45"/>
      <c r="H62" s="53" t="s">
        <v>100</v>
      </c>
      <c r="I62" s="49">
        <f>'Salay Branch'!D31</f>
        <v>0</v>
      </c>
      <c r="J62" s="49">
        <f>'Salay Branch'!E31</f>
        <v>0</v>
      </c>
      <c r="K62" s="45"/>
    </row>
    <row r="63" spans="1:16" ht="23.25" x14ac:dyDescent="0.35">
      <c r="A63" s="58"/>
      <c r="B63" s="92" t="s">
        <v>392</v>
      </c>
      <c r="C63" s="92"/>
      <c r="D63" s="92"/>
      <c r="E63" s="59"/>
      <c r="F63" s="59"/>
      <c r="G63" s="45"/>
      <c r="H63" s="88" t="s">
        <v>7</v>
      </c>
      <c r="I63" s="49"/>
      <c r="J63" s="49"/>
      <c r="K63" s="45"/>
    </row>
    <row r="64" spans="1:16" ht="23.25" x14ac:dyDescent="0.35">
      <c r="A64" s="58"/>
      <c r="B64" s="47" t="s">
        <v>107</v>
      </c>
      <c r="C64" s="47"/>
      <c r="D64" s="49">
        <f>'Salay Branch'!I23</f>
        <v>4</v>
      </c>
      <c r="E64" s="59"/>
      <c r="F64" s="59"/>
      <c r="G64" s="45"/>
      <c r="H64" s="53" t="s">
        <v>99</v>
      </c>
      <c r="I64" s="49">
        <f>'Salay Branch'!D33</f>
        <v>0</v>
      </c>
      <c r="J64" s="49">
        <f>'Salay Branch'!E33</f>
        <v>0</v>
      </c>
      <c r="K64" s="45"/>
    </row>
    <row r="65" spans="1:16" ht="23.25" x14ac:dyDescent="0.35">
      <c r="A65" s="58"/>
      <c r="B65" s="47" t="s">
        <v>108</v>
      </c>
      <c r="C65" s="47"/>
      <c r="D65" s="49">
        <f>'Salay Branch'!I24</f>
        <v>1</v>
      </c>
      <c r="E65" s="59"/>
      <c r="F65" s="59"/>
      <c r="G65" s="45"/>
      <c r="H65" s="53" t="s">
        <v>100</v>
      </c>
      <c r="I65" s="49">
        <f>'Salay Branch'!D34</f>
        <v>0</v>
      </c>
      <c r="J65" s="49">
        <f>'Salay Branch'!E34</f>
        <v>7</v>
      </c>
      <c r="K65" s="45"/>
    </row>
    <row r="66" spans="1:16" ht="23.25" x14ac:dyDescent="0.35">
      <c r="A66" s="58"/>
      <c r="B66" s="47" t="s">
        <v>393</v>
      </c>
      <c r="C66" s="47"/>
      <c r="D66" s="49">
        <f>'Salay Branch'!I25</f>
        <v>0</v>
      </c>
      <c r="E66" s="59"/>
      <c r="F66" s="59"/>
      <c r="G66" s="45"/>
      <c r="H66" s="88" t="s">
        <v>6</v>
      </c>
      <c r="I66" s="49"/>
      <c r="J66" s="49"/>
      <c r="K66" s="45"/>
      <c r="L66" s="15"/>
    </row>
    <row r="67" spans="1:16" ht="23.25" x14ac:dyDescent="0.35">
      <c r="A67" s="58"/>
      <c r="B67" s="47" t="s">
        <v>394</v>
      </c>
      <c r="C67" s="47"/>
      <c r="D67" s="49">
        <f>'Salay Branch'!I26</f>
        <v>0</v>
      </c>
      <c r="E67" s="59"/>
      <c r="F67" s="59"/>
      <c r="G67" s="45"/>
      <c r="H67" s="88" t="s">
        <v>44</v>
      </c>
      <c r="I67" s="49"/>
      <c r="J67" s="49"/>
      <c r="K67" s="45"/>
      <c r="L67" s="15"/>
      <c r="O67" s="107"/>
      <c r="P67" s="107"/>
    </row>
    <row r="68" spans="1:16" ht="23.25" x14ac:dyDescent="0.35">
      <c r="A68" s="58"/>
      <c r="B68" s="58"/>
      <c r="C68" s="58"/>
      <c r="D68" s="59"/>
      <c r="E68" s="59"/>
      <c r="F68" s="59"/>
      <c r="G68" s="45"/>
      <c r="H68" s="53" t="s">
        <v>348</v>
      </c>
      <c r="I68" s="49">
        <f>'Salay Branch'!D36</f>
        <v>0</v>
      </c>
      <c r="J68" s="49">
        <f>'Salay Branch'!E36</f>
        <v>0</v>
      </c>
      <c r="K68" s="45"/>
      <c r="L68" s="15"/>
    </row>
    <row r="69" spans="1:16" ht="23.25" x14ac:dyDescent="0.35">
      <c r="A69" s="58"/>
      <c r="B69" s="58"/>
      <c r="C69" s="58"/>
      <c r="D69" s="59"/>
      <c r="E69" s="59"/>
      <c r="F69" s="59"/>
      <c r="G69" s="45"/>
      <c r="H69" s="53" t="s">
        <v>101</v>
      </c>
      <c r="I69" s="49">
        <f>'Salay Branch'!D37</f>
        <v>0</v>
      </c>
      <c r="J69" s="49">
        <f>'Salay Branch'!E37</f>
        <v>3</v>
      </c>
      <c r="K69" s="45"/>
      <c r="L69" s="15"/>
      <c r="O69" s="107"/>
      <c r="P69" s="107"/>
    </row>
    <row r="70" spans="1:16" ht="23.25" x14ac:dyDescent="0.35">
      <c r="A70" s="58"/>
      <c r="B70" s="58"/>
      <c r="C70" s="58"/>
      <c r="D70" s="59"/>
      <c r="E70" s="59"/>
      <c r="F70" s="59"/>
      <c r="G70" s="45"/>
      <c r="H70" s="108" t="s">
        <v>45</v>
      </c>
      <c r="I70" s="46">
        <f>SUM(I60:I69)</f>
        <v>1</v>
      </c>
      <c r="J70" s="46">
        <f>SUM(J60:J69)</f>
        <v>10</v>
      </c>
      <c r="K70" s="45"/>
    </row>
    <row r="71" spans="1:16" ht="23.25" x14ac:dyDescent="0.35">
      <c r="A71" s="58"/>
      <c r="B71" s="58"/>
      <c r="C71" s="58"/>
      <c r="D71" s="59"/>
      <c r="E71" s="59"/>
      <c r="F71" s="59"/>
      <c r="G71" s="45"/>
      <c r="H71" s="108"/>
      <c r="I71" s="109">
        <f>I70+J70</f>
        <v>11</v>
      </c>
      <c r="J71" s="109"/>
      <c r="K71" s="45"/>
    </row>
    <row r="73" spans="1:16" ht="23.25" x14ac:dyDescent="0.35">
      <c r="A73" s="119" t="s">
        <v>367</v>
      </c>
      <c r="B73" s="120"/>
      <c r="C73" s="120"/>
      <c r="D73" s="120"/>
      <c r="E73" s="120"/>
      <c r="F73" s="120"/>
      <c r="G73" s="120"/>
      <c r="H73" s="120"/>
      <c r="I73" s="120"/>
      <c r="J73" s="121"/>
      <c r="K73" s="45"/>
    </row>
    <row r="74" spans="1:16" ht="23.25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</row>
    <row r="75" spans="1:16" ht="23.25" x14ac:dyDescent="0.35">
      <c r="A75" s="110" t="s">
        <v>17</v>
      </c>
      <c r="B75" s="111"/>
      <c r="C75" s="112"/>
      <c r="D75" s="46" t="s">
        <v>20</v>
      </c>
      <c r="E75" s="46" t="s">
        <v>21</v>
      </c>
      <c r="F75" s="46" t="s">
        <v>8</v>
      </c>
      <c r="G75" s="45"/>
      <c r="H75" s="108" t="s">
        <v>39</v>
      </c>
      <c r="I75" s="108"/>
      <c r="J75" s="108"/>
      <c r="K75" s="45"/>
    </row>
    <row r="76" spans="1:16" ht="23.25" x14ac:dyDescent="0.35">
      <c r="A76" s="113" t="s">
        <v>18</v>
      </c>
      <c r="B76" s="114"/>
      <c r="C76" s="115"/>
      <c r="D76" s="49">
        <f>'CDO Branch'!D29</f>
        <v>17</v>
      </c>
      <c r="E76" s="49">
        <f>'CDO Branch'!E29</f>
        <v>11</v>
      </c>
      <c r="F76" s="49">
        <f>'CDO Branch'!F29</f>
        <v>9</v>
      </c>
      <c r="G76" s="45"/>
      <c r="H76" s="47"/>
      <c r="I76" s="50" t="s">
        <v>4</v>
      </c>
      <c r="J76" s="50" t="s">
        <v>98</v>
      </c>
      <c r="K76" s="45"/>
    </row>
    <row r="77" spans="1:16" ht="23.25" x14ac:dyDescent="0.35">
      <c r="A77" s="116" t="s">
        <v>42</v>
      </c>
      <c r="B77" s="117"/>
      <c r="C77" s="118"/>
      <c r="D77" s="49">
        <f>'CDO Branch'!D30</f>
        <v>0</v>
      </c>
      <c r="E77" s="49">
        <f>'CDO Branch'!E30</f>
        <v>6</v>
      </c>
      <c r="F77" s="49">
        <f>'CDO Branch'!F30</f>
        <v>5</v>
      </c>
      <c r="G77" s="45"/>
      <c r="H77" s="88" t="s">
        <v>333</v>
      </c>
      <c r="I77" s="49"/>
      <c r="J77" s="49"/>
      <c r="K77" s="45"/>
    </row>
    <row r="78" spans="1:16" ht="23.25" x14ac:dyDescent="0.35">
      <c r="A78" s="54"/>
      <c r="B78" s="55"/>
      <c r="C78" s="55"/>
      <c r="D78" s="56"/>
      <c r="E78" s="56" t="s">
        <v>16</v>
      </c>
      <c r="F78" s="49">
        <f>'CDO Branch'!F31</f>
        <v>2</v>
      </c>
      <c r="G78" s="45"/>
      <c r="H78" s="53" t="s">
        <v>340</v>
      </c>
      <c r="I78" s="49">
        <f>'CDO Branch'!D37</f>
        <v>0</v>
      </c>
      <c r="J78" s="49">
        <f>'CDO Branch'!E37</f>
        <v>0</v>
      </c>
      <c r="K78" s="45"/>
    </row>
    <row r="79" spans="1:16" ht="23.25" x14ac:dyDescent="0.35">
      <c r="A79" s="58"/>
      <c r="B79" s="58"/>
      <c r="C79" s="58"/>
      <c r="D79" s="59"/>
      <c r="E79" s="59"/>
      <c r="F79" s="59"/>
      <c r="G79" s="45"/>
      <c r="H79" s="53" t="s">
        <v>100</v>
      </c>
      <c r="I79" s="49">
        <f>'CDO Branch'!D38</f>
        <v>0</v>
      </c>
      <c r="J79" s="49">
        <f>'CDO Branch'!E38</f>
        <v>5</v>
      </c>
      <c r="K79" s="45"/>
    </row>
    <row r="80" spans="1:16" ht="23.25" x14ac:dyDescent="0.35">
      <c r="A80" s="58"/>
      <c r="B80" s="92" t="s">
        <v>392</v>
      </c>
      <c r="C80" s="92"/>
      <c r="D80" s="92"/>
      <c r="E80" s="59"/>
      <c r="F80" s="59"/>
      <c r="G80" s="45"/>
      <c r="H80" s="88" t="s">
        <v>7</v>
      </c>
      <c r="I80" s="49"/>
      <c r="J80" s="49"/>
      <c r="K80" s="45"/>
    </row>
    <row r="81" spans="1:16" ht="23.25" x14ac:dyDescent="0.35">
      <c r="A81" s="58"/>
      <c r="B81" s="47" t="s">
        <v>107</v>
      </c>
      <c r="C81" s="47"/>
      <c r="D81" s="49">
        <f>'CDO Branch'!I29</f>
        <v>4</v>
      </c>
      <c r="E81" s="59"/>
      <c r="F81" s="59"/>
      <c r="G81" s="45"/>
      <c r="H81" s="53" t="s">
        <v>99</v>
      </c>
      <c r="I81" s="49">
        <f>'CDO Branch'!D40</f>
        <v>0</v>
      </c>
      <c r="J81" s="49">
        <f>'CDO Branch'!E40</f>
        <v>0</v>
      </c>
      <c r="K81" s="45"/>
    </row>
    <row r="82" spans="1:16" ht="23.25" x14ac:dyDescent="0.35">
      <c r="A82" s="58"/>
      <c r="B82" s="47" t="s">
        <v>108</v>
      </c>
      <c r="C82" s="47"/>
      <c r="D82" s="49">
        <f>'CDO Branch'!I30</f>
        <v>5</v>
      </c>
      <c r="E82" s="59"/>
      <c r="F82" s="59"/>
      <c r="G82" s="45"/>
      <c r="H82" s="53" t="s">
        <v>100</v>
      </c>
      <c r="I82" s="49">
        <f>'CDO Branch'!D41</f>
        <v>0</v>
      </c>
      <c r="J82" s="49">
        <f>'CDO Branch'!E41</f>
        <v>6</v>
      </c>
      <c r="K82" s="45"/>
    </row>
    <row r="83" spans="1:16" ht="23.25" x14ac:dyDescent="0.35">
      <c r="A83" s="58"/>
      <c r="B83" s="47" t="s">
        <v>393</v>
      </c>
      <c r="C83" s="47"/>
      <c r="D83" s="49">
        <f>'CDO Branch'!I31</f>
        <v>0</v>
      </c>
      <c r="E83" s="59"/>
      <c r="F83" s="59"/>
      <c r="G83" s="45"/>
      <c r="H83" s="88" t="s">
        <v>6</v>
      </c>
      <c r="I83" s="49"/>
      <c r="J83" s="49"/>
      <c r="K83" s="45"/>
      <c r="L83" s="15"/>
    </row>
    <row r="84" spans="1:16" ht="23.25" x14ac:dyDescent="0.35">
      <c r="A84" s="58"/>
      <c r="B84" s="47" t="s">
        <v>394</v>
      </c>
      <c r="C84" s="47"/>
      <c r="D84" s="49">
        <f>'CDO Branch'!I32</f>
        <v>1</v>
      </c>
      <c r="E84" s="59"/>
      <c r="F84" s="59"/>
      <c r="G84" s="45"/>
      <c r="H84" s="88" t="s">
        <v>44</v>
      </c>
      <c r="I84" s="49"/>
      <c r="J84" s="49"/>
      <c r="K84" s="45"/>
      <c r="L84" s="15"/>
      <c r="O84" s="107"/>
      <c r="P84" s="107"/>
    </row>
    <row r="85" spans="1:16" ht="23.25" x14ac:dyDescent="0.35">
      <c r="A85" s="58"/>
      <c r="B85" s="58"/>
      <c r="C85" s="58"/>
      <c r="D85" s="59"/>
      <c r="E85" s="59"/>
      <c r="F85" s="59"/>
      <c r="G85" s="45"/>
      <c r="H85" s="53" t="s">
        <v>348</v>
      </c>
      <c r="I85" s="49"/>
      <c r="J85" s="49"/>
      <c r="K85" s="45"/>
      <c r="L85" s="15"/>
    </row>
    <row r="86" spans="1:16" ht="23.25" x14ac:dyDescent="0.35">
      <c r="A86" s="58"/>
      <c r="B86" s="58"/>
      <c r="C86" s="58"/>
      <c r="D86" s="59"/>
      <c r="E86" s="59"/>
      <c r="F86" s="59"/>
      <c r="G86" s="45"/>
      <c r="H86" s="53" t="s">
        <v>101</v>
      </c>
      <c r="I86" s="49">
        <f>'CDO Branch'!D43</f>
        <v>0</v>
      </c>
      <c r="J86" s="49">
        <f>'CDO Branch'!E43</f>
        <v>5</v>
      </c>
      <c r="K86" s="45"/>
      <c r="L86" s="15"/>
      <c r="O86" s="107"/>
      <c r="P86" s="107"/>
    </row>
    <row r="87" spans="1:16" ht="23.25" x14ac:dyDescent="0.35">
      <c r="A87" s="58"/>
      <c r="B87" s="58"/>
      <c r="C87" s="58"/>
      <c r="D87" s="59"/>
      <c r="E87" s="59"/>
      <c r="F87" s="59"/>
      <c r="G87" s="45"/>
      <c r="H87" s="108" t="s">
        <v>45</v>
      </c>
      <c r="I87" s="46">
        <f>SUM(I77:I86)</f>
        <v>0</v>
      </c>
      <c r="J87" s="46">
        <f>SUM(J77:J86)</f>
        <v>16</v>
      </c>
      <c r="K87" s="45"/>
    </row>
    <row r="88" spans="1:16" ht="23.25" x14ac:dyDescent="0.35">
      <c r="A88" s="58"/>
      <c r="B88" s="58"/>
      <c r="C88" s="58"/>
      <c r="D88" s="59"/>
      <c r="E88" s="59"/>
      <c r="F88" s="59"/>
      <c r="G88" s="45"/>
      <c r="H88" s="108"/>
      <c r="I88" s="109">
        <f>I87+J87</f>
        <v>16</v>
      </c>
      <c r="J88" s="109"/>
      <c r="K88" s="45"/>
    </row>
    <row r="90" spans="1:16" ht="23.25" x14ac:dyDescent="0.35">
      <c r="A90" s="119" t="s">
        <v>368</v>
      </c>
      <c r="B90" s="120"/>
      <c r="C90" s="120"/>
      <c r="D90" s="120"/>
      <c r="E90" s="120"/>
      <c r="F90" s="120"/>
      <c r="G90" s="120"/>
      <c r="H90" s="120"/>
      <c r="I90" s="120"/>
      <c r="J90" s="121"/>
      <c r="K90" s="45"/>
    </row>
    <row r="91" spans="1:16" ht="23.25" x14ac:dyDescent="0.3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</row>
    <row r="92" spans="1:16" ht="23.25" x14ac:dyDescent="0.35">
      <c r="A92" s="110" t="s">
        <v>17</v>
      </c>
      <c r="B92" s="111"/>
      <c r="C92" s="112"/>
      <c r="D92" s="46" t="s">
        <v>20</v>
      </c>
      <c r="E92" s="46" t="s">
        <v>21</v>
      </c>
      <c r="F92" s="46" t="s">
        <v>8</v>
      </c>
      <c r="G92" s="45"/>
      <c r="H92" s="108" t="s">
        <v>39</v>
      </c>
      <c r="I92" s="108"/>
      <c r="J92" s="108"/>
      <c r="K92" s="45"/>
    </row>
    <row r="93" spans="1:16" ht="23.25" x14ac:dyDescent="0.35">
      <c r="A93" s="113" t="s">
        <v>18</v>
      </c>
      <c r="B93" s="114"/>
      <c r="C93" s="115"/>
      <c r="D93" s="49">
        <f>'Maramag Branch'!D21</f>
        <v>9</v>
      </c>
      <c r="E93" s="49">
        <f>'Maramag Branch'!E21</f>
        <v>4</v>
      </c>
      <c r="F93" s="49">
        <f>'Maramag Branch'!F21</f>
        <v>5</v>
      </c>
      <c r="G93" s="45"/>
      <c r="H93" s="47"/>
      <c r="I93" s="50" t="s">
        <v>4</v>
      </c>
      <c r="J93" s="50" t="s">
        <v>98</v>
      </c>
      <c r="K93" s="45"/>
    </row>
    <row r="94" spans="1:16" ht="23.25" x14ac:dyDescent="0.35">
      <c r="A94" s="116" t="s">
        <v>42</v>
      </c>
      <c r="B94" s="117"/>
      <c r="C94" s="118"/>
      <c r="D94" s="49">
        <f>'Maramag Branch'!D22</f>
        <v>0</v>
      </c>
      <c r="E94" s="49">
        <f>'Maramag Branch'!E22</f>
        <v>5</v>
      </c>
      <c r="F94" s="49">
        <f>'Maramag Branch'!F22</f>
        <v>4</v>
      </c>
      <c r="G94" s="45"/>
      <c r="H94" s="88" t="s">
        <v>333</v>
      </c>
      <c r="I94" s="49"/>
      <c r="J94" s="49"/>
      <c r="K94" s="45"/>
    </row>
    <row r="95" spans="1:16" ht="23.25" x14ac:dyDescent="0.35">
      <c r="A95" s="54"/>
      <c r="B95" s="55"/>
      <c r="C95" s="55"/>
      <c r="D95" s="56"/>
      <c r="E95" s="56" t="s">
        <v>16</v>
      </c>
      <c r="F95" s="49">
        <f>'Maramag Branch'!F23</f>
        <v>0</v>
      </c>
      <c r="G95" s="45"/>
      <c r="H95" s="53" t="s">
        <v>340</v>
      </c>
      <c r="I95" s="49">
        <f>'Maramag Branch'!D29</f>
        <v>1</v>
      </c>
      <c r="J95" s="49">
        <f>'Maramag Branch'!E29</f>
        <v>0</v>
      </c>
      <c r="K95" s="45"/>
    </row>
    <row r="96" spans="1:16" ht="23.25" x14ac:dyDescent="0.35">
      <c r="A96" s="58"/>
      <c r="B96" s="58"/>
      <c r="C96" s="58"/>
      <c r="D96" s="59"/>
      <c r="E96" s="59"/>
      <c r="F96" s="59"/>
      <c r="G96" s="45"/>
      <c r="H96" s="53" t="s">
        <v>100</v>
      </c>
      <c r="I96" s="49">
        <f>'Maramag Branch'!D30</f>
        <v>0</v>
      </c>
      <c r="J96" s="49">
        <f>'Maramag Branch'!E30</f>
        <v>1</v>
      </c>
      <c r="K96" s="45"/>
    </row>
    <row r="97" spans="1:16" ht="23.25" x14ac:dyDescent="0.35">
      <c r="A97" s="58"/>
      <c r="B97" s="92" t="s">
        <v>392</v>
      </c>
      <c r="C97" s="92"/>
      <c r="D97" s="92"/>
      <c r="E97" s="59"/>
      <c r="F97" s="59"/>
      <c r="G97" s="45"/>
      <c r="H97" s="88" t="s">
        <v>7</v>
      </c>
      <c r="I97" s="49"/>
      <c r="J97" s="49"/>
      <c r="K97" s="45"/>
    </row>
    <row r="98" spans="1:16" ht="23.25" x14ac:dyDescent="0.35">
      <c r="A98" s="58"/>
      <c r="B98" s="47" t="s">
        <v>107</v>
      </c>
      <c r="C98" s="47"/>
      <c r="D98" s="49">
        <f>'Maramag Branch'!I21</f>
        <v>3</v>
      </c>
      <c r="E98" s="59"/>
      <c r="F98" s="59"/>
      <c r="G98" s="45"/>
      <c r="H98" s="53" t="s">
        <v>99</v>
      </c>
      <c r="I98" s="49">
        <f>'Maramag Branch'!D32</f>
        <v>0</v>
      </c>
      <c r="J98" s="49">
        <f>'Maramag Branch'!E32</f>
        <v>0</v>
      </c>
      <c r="K98" s="45"/>
    </row>
    <row r="99" spans="1:16" ht="23.25" x14ac:dyDescent="0.35">
      <c r="A99" s="58"/>
      <c r="B99" s="47" t="s">
        <v>108</v>
      </c>
      <c r="C99" s="47"/>
      <c r="D99" s="49">
        <f>'Maramag Branch'!I22</f>
        <v>1</v>
      </c>
      <c r="E99" s="59"/>
      <c r="F99" s="59"/>
      <c r="G99" s="45"/>
      <c r="H99" s="53" t="s">
        <v>100</v>
      </c>
      <c r="I99" s="49">
        <f>'Maramag Branch'!D33</f>
        <v>0</v>
      </c>
      <c r="J99" s="49">
        <f>'Maramag Branch'!E33</f>
        <v>3</v>
      </c>
      <c r="K99" s="45"/>
    </row>
    <row r="100" spans="1:16" ht="23.25" x14ac:dyDescent="0.35">
      <c r="A100" s="58"/>
      <c r="B100" s="47" t="s">
        <v>393</v>
      </c>
      <c r="C100" s="47"/>
      <c r="D100" s="49">
        <f>'Maramag Branch'!I23</f>
        <v>0</v>
      </c>
      <c r="E100" s="59"/>
      <c r="F100" s="59"/>
      <c r="G100" s="45"/>
      <c r="H100" s="88" t="s">
        <v>6</v>
      </c>
      <c r="I100" s="49"/>
      <c r="J100" s="49"/>
      <c r="K100" s="45"/>
      <c r="L100" s="15"/>
    </row>
    <row r="101" spans="1:16" ht="23.25" x14ac:dyDescent="0.35">
      <c r="A101" s="58"/>
      <c r="B101" s="47" t="s">
        <v>394</v>
      </c>
      <c r="C101" s="47"/>
      <c r="D101" s="49">
        <f>'Maramag Branch'!I24</f>
        <v>0</v>
      </c>
      <c r="E101" s="59"/>
      <c r="F101" s="59"/>
      <c r="G101" s="45"/>
      <c r="H101" s="88" t="s">
        <v>44</v>
      </c>
      <c r="I101" s="49"/>
      <c r="J101" s="49"/>
      <c r="K101" s="45"/>
      <c r="L101" s="15"/>
      <c r="O101" s="107"/>
      <c r="P101" s="107"/>
    </row>
    <row r="102" spans="1:16" ht="23.25" x14ac:dyDescent="0.35">
      <c r="A102" s="58"/>
      <c r="B102" s="58"/>
      <c r="C102" s="58"/>
      <c r="D102" s="59"/>
      <c r="E102" s="59"/>
      <c r="F102" s="59"/>
      <c r="G102" s="45"/>
      <c r="H102" s="53" t="s">
        <v>348</v>
      </c>
      <c r="I102" s="49">
        <f>'Maramag Branch'!D35</f>
        <v>0</v>
      </c>
      <c r="J102" s="49">
        <f>'Maramag Branch'!E35</f>
        <v>1</v>
      </c>
      <c r="K102" s="45"/>
      <c r="L102" s="15"/>
    </row>
    <row r="103" spans="1:16" ht="23.25" x14ac:dyDescent="0.35">
      <c r="A103" s="58"/>
      <c r="B103" s="58"/>
      <c r="C103" s="58"/>
      <c r="D103" s="59"/>
      <c r="E103" s="59"/>
      <c r="F103" s="59"/>
      <c r="G103" s="45"/>
      <c r="H103" s="53" t="s">
        <v>101</v>
      </c>
      <c r="I103" s="49">
        <f>'Maramag Branch'!D36</f>
        <v>0</v>
      </c>
      <c r="J103" s="49">
        <f>'Maramag Branch'!E36</f>
        <v>3</v>
      </c>
      <c r="K103" s="45"/>
      <c r="L103" s="15"/>
      <c r="O103" s="107"/>
      <c r="P103" s="107"/>
    </row>
    <row r="104" spans="1:16" ht="23.25" x14ac:dyDescent="0.35">
      <c r="A104" s="58"/>
      <c r="B104" s="58"/>
      <c r="C104" s="58"/>
      <c r="D104" s="59"/>
      <c r="E104" s="59"/>
      <c r="F104" s="59"/>
      <c r="G104" s="45"/>
      <c r="H104" s="108" t="s">
        <v>45</v>
      </c>
      <c r="I104" s="46">
        <f>SUM(I94:I103)</f>
        <v>1</v>
      </c>
      <c r="J104" s="46">
        <f>SUM(J94:J103)</f>
        <v>8</v>
      </c>
      <c r="K104" s="45"/>
    </row>
    <row r="105" spans="1:16" ht="23.25" x14ac:dyDescent="0.35">
      <c r="A105" s="58"/>
      <c r="B105" s="58"/>
      <c r="C105" s="58"/>
      <c r="D105" s="59"/>
      <c r="E105" s="59"/>
      <c r="F105" s="59"/>
      <c r="G105" s="45"/>
      <c r="H105" s="108"/>
      <c r="I105" s="109">
        <f>I104+J104</f>
        <v>9</v>
      </c>
      <c r="J105" s="109"/>
      <c r="K105" s="45"/>
    </row>
    <row r="107" spans="1:16" ht="23.25" x14ac:dyDescent="0.35">
      <c r="A107" s="119" t="s">
        <v>369</v>
      </c>
      <c r="B107" s="120"/>
      <c r="C107" s="120"/>
      <c r="D107" s="120"/>
      <c r="E107" s="120"/>
      <c r="F107" s="120"/>
      <c r="G107" s="120"/>
      <c r="H107" s="120"/>
      <c r="I107" s="120"/>
      <c r="J107" s="121"/>
      <c r="K107" s="45"/>
    </row>
    <row r="108" spans="1:16" ht="23.25" x14ac:dyDescent="0.3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</row>
    <row r="109" spans="1:16" ht="23.25" x14ac:dyDescent="0.35">
      <c r="A109" s="110" t="s">
        <v>17</v>
      </c>
      <c r="B109" s="111"/>
      <c r="C109" s="112"/>
      <c r="D109" s="46" t="s">
        <v>20</v>
      </c>
      <c r="E109" s="46" t="s">
        <v>21</v>
      </c>
      <c r="F109" s="46" t="s">
        <v>8</v>
      </c>
      <c r="G109" s="45"/>
      <c r="H109" s="108" t="s">
        <v>39</v>
      </c>
      <c r="I109" s="108"/>
      <c r="J109" s="108"/>
      <c r="K109" s="45"/>
    </row>
    <row r="110" spans="1:16" ht="23.25" x14ac:dyDescent="0.35">
      <c r="A110" s="113" t="s">
        <v>18</v>
      </c>
      <c r="B110" s="114"/>
      <c r="C110" s="115"/>
      <c r="D110" s="49">
        <f>'Gingoog BL'!D18</f>
        <v>7</v>
      </c>
      <c r="E110" s="49">
        <f>'Gingoog BL'!E18</f>
        <v>0</v>
      </c>
      <c r="F110" s="49">
        <f>'Gingoog BL'!F18</f>
        <v>0</v>
      </c>
      <c r="G110" s="45"/>
      <c r="H110" s="47"/>
      <c r="I110" s="50" t="s">
        <v>4</v>
      </c>
      <c r="J110" s="50" t="s">
        <v>98</v>
      </c>
      <c r="K110" s="45"/>
    </row>
    <row r="111" spans="1:16" ht="23.25" x14ac:dyDescent="0.35">
      <c r="A111" s="116" t="s">
        <v>42</v>
      </c>
      <c r="B111" s="117"/>
      <c r="C111" s="118"/>
      <c r="D111" s="49">
        <f>'Gingoog BL'!D19</f>
        <v>0</v>
      </c>
      <c r="E111" s="49">
        <f>'Gingoog BL'!E19</f>
        <v>7</v>
      </c>
      <c r="F111" s="49">
        <f>'Gingoog BL'!F19</f>
        <v>0</v>
      </c>
      <c r="G111" s="45"/>
      <c r="H111" s="88" t="s">
        <v>333</v>
      </c>
      <c r="I111" s="49"/>
      <c r="J111" s="49"/>
      <c r="K111" s="45"/>
    </row>
    <row r="112" spans="1:16" ht="23.25" x14ac:dyDescent="0.35">
      <c r="A112" s="54"/>
      <c r="B112" s="55"/>
      <c r="C112" s="55"/>
      <c r="D112" s="56"/>
      <c r="E112" s="56" t="s">
        <v>16</v>
      </c>
      <c r="F112" s="49">
        <f>'Gingoog BL'!F20</f>
        <v>7</v>
      </c>
      <c r="G112" s="45"/>
      <c r="H112" s="53" t="s">
        <v>340</v>
      </c>
      <c r="I112" s="49">
        <f>'Gingoog BL'!D25</f>
        <v>0</v>
      </c>
      <c r="J112" s="49">
        <f>'Gingoog BL'!E25</f>
        <v>0</v>
      </c>
      <c r="K112" s="45"/>
    </row>
    <row r="113" spans="1:16" ht="23.25" x14ac:dyDescent="0.35">
      <c r="A113" s="58"/>
      <c r="B113" s="58"/>
      <c r="C113" s="58"/>
      <c r="D113" s="59"/>
      <c r="E113" s="59"/>
      <c r="F113" s="59"/>
      <c r="G113" s="45"/>
      <c r="H113" s="53" t="s">
        <v>100</v>
      </c>
      <c r="I113" s="49">
        <f>'Gingoog BL'!D26</f>
        <v>0</v>
      </c>
      <c r="J113" s="49">
        <f>'Gingoog BL'!E26</f>
        <v>0</v>
      </c>
      <c r="K113" s="45"/>
    </row>
    <row r="114" spans="1:16" ht="23.25" x14ac:dyDescent="0.35">
      <c r="A114" s="58"/>
      <c r="B114" s="92" t="s">
        <v>392</v>
      </c>
      <c r="C114" s="92"/>
      <c r="D114" s="92"/>
      <c r="E114" s="59"/>
      <c r="F114" s="59"/>
      <c r="G114" s="45"/>
      <c r="H114" s="88" t="s">
        <v>7</v>
      </c>
      <c r="I114" s="49"/>
      <c r="J114" s="49"/>
      <c r="K114" s="45"/>
    </row>
    <row r="115" spans="1:16" ht="23.25" x14ac:dyDescent="0.35">
      <c r="A115" s="58"/>
      <c r="B115" s="47" t="s">
        <v>107</v>
      </c>
      <c r="C115" s="47"/>
      <c r="D115" s="49">
        <f>'Gingoog BL'!I18</f>
        <v>0</v>
      </c>
      <c r="E115" s="59"/>
      <c r="F115" s="59"/>
      <c r="G115" s="45"/>
      <c r="H115" s="53" t="s">
        <v>99</v>
      </c>
      <c r="I115" s="49">
        <f>'Gingoog BL'!D28</f>
        <v>0</v>
      </c>
      <c r="J115" s="49">
        <f>'Gingoog BL'!E28</f>
        <v>1</v>
      </c>
      <c r="K115" s="45"/>
    </row>
    <row r="116" spans="1:16" ht="23.25" x14ac:dyDescent="0.35">
      <c r="A116" s="58"/>
      <c r="B116" s="47" t="s">
        <v>108</v>
      </c>
      <c r="C116" s="47"/>
      <c r="D116" s="49">
        <f>'Gingoog BL'!I19</f>
        <v>0</v>
      </c>
      <c r="E116" s="59"/>
      <c r="F116" s="59"/>
      <c r="G116" s="45"/>
      <c r="H116" s="53" t="s">
        <v>100</v>
      </c>
      <c r="I116" s="49">
        <f>'Gingoog BL'!D29</f>
        <v>0</v>
      </c>
      <c r="J116" s="49">
        <f>'Gingoog BL'!E29</f>
        <v>3</v>
      </c>
      <c r="K116" s="45"/>
    </row>
    <row r="117" spans="1:16" ht="23.25" x14ac:dyDescent="0.35">
      <c r="A117" s="58"/>
      <c r="B117" s="47" t="s">
        <v>393</v>
      </c>
      <c r="C117" s="47"/>
      <c r="D117" s="49">
        <f>'Gingoog BL'!I20</f>
        <v>0</v>
      </c>
      <c r="E117" s="59"/>
      <c r="F117" s="59"/>
      <c r="G117" s="45"/>
      <c r="H117" s="88" t="s">
        <v>6</v>
      </c>
      <c r="I117" s="49"/>
      <c r="J117" s="49"/>
      <c r="K117" s="45"/>
      <c r="L117" s="15"/>
    </row>
    <row r="118" spans="1:16" ht="23.25" x14ac:dyDescent="0.35">
      <c r="A118" s="58"/>
      <c r="B118" s="47" t="s">
        <v>394</v>
      </c>
      <c r="C118" s="47"/>
      <c r="D118" s="49">
        <f>'Gingoog BL'!I21</f>
        <v>0</v>
      </c>
      <c r="E118" s="59"/>
      <c r="F118" s="59"/>
      <c r="G118" s="45"/>
      <c r="H118" s="88" t="s">
        <v>44</v>
      </c>
      <c r="I118" s="49"/>
      <c r="J118" s="49"/>
      <c r="K118" s="45"/>
      <c r="L118" s="15"/>
      <c r="O118" s="107"/>
      <c r="P118" s="107"/>
    </row>
    <row r="119" spans="1:16" ht="23.25" x14ac:dyDescent="0.35">
      <c r="A119" s="58"/>
      <c r="B119" s="58"/>
      <c r="C119" s="58"/>
      <c r="D119" s="59"/>
      <c r="E119" s="59"/>
      <c r="F119" s="59"/>
      <c r="G119" s="45"/>
      <c r="H119" s="53" t="s">
        <v>348</v>
      </c>
      <c r="I119" s="49"/>
      <c r="J119" s="49"/>
      <c r="K119" s="45"/>
      <c r="L119" s="15"/>
    </row>
    <row r="120" spans="1:16" ht="23.25" x14ac:dyDescent="0.35">
      <c r="A120" s="58"/>
      <c r="B120" s="58"/>
      <c r="C120" s="58"/>
      <c r="D120" s="59"/>
      <c r="E120" s="59"/>
      <c r="F120" s="59"/>
      <c r="G120" s="45"/>
      <c r="H120" s="53" t="s">
        <v>101</v>
      </c>
      <c r="I120" s="49">
        <f>'Gingoog BL'!D31</f>
        <v>0</v>
      </c>
      <c r="J120" s="49">
        <f>'Gingoog BL'!E31</f>
        <v>3</v>
      </c>
      <c r="K120" s="45"/>
      <c r="L120" s="15"/>
      <c r="O120" s="107"/>
      <c r="P120" s="107"/>
    </row>
    <row r="121" spans="1:16" ht="23.25" x14ac:dyDescent="0.35">
      <c r="A121" s="58"/>
      <c r="B121" s="58"/>
      <c r="C121" s="58"/>
      <c r="D121" s="59"/>
      <c r="E121" s="59"/>
      <c r="F121" s="59"/>
      <c r="G121" s="45"/>
      <c r="H121" s="108" t="s">
        <v>45</v>
      </c>
      <c r="I121" s="46">
        <f>SUM(I111:I120)</f>
        <v>0</v>
      </c>
      <c r="J121" s="46">
        <f>SUM(J111:J120)</f>
        <v>7</v>
      </c>
      <c r="K121" s="45"/>
    </row>
    <row r="122" spans="1:16" ht="23.25" x14ac:dyDescent="0.35">
      <c r="A122" s="58"/>
      <c r="B122" s="58"/>
      <c r="C122" s="58"/>
      <c r="D122" s="59"/>
      <c r="E122" s="59"/>
      <c r="F122" s="59"/>
      <c r="G122" s="45"/>
      <c r="H122" s="108"/>
      <c r="I122" s="109">
        <f>I121+J121</f>
        <v>7</v>
      </c>
      <c r="J122" s="109"/>
      <c r="K122" s="45"/>
    </row>
    <row r="124" spans="1:16" ht="23.25" x14ac:dyDescent="0.35">
      <c r="A124" s="119" t="s">
        <v>370</v>
      </c>
      <c r="B124" s="120"/>
      <c r="C124" s="120"/>
      <c r="D124" s="120"/>
      <c r="E124" s="120"/>
      <c r="F124" s="120"/>
      <c r="G124" s="120"/>
      <c r="H124" s="120"/>
      <c r="I124" s="120"/>
      <c r="J124" s="121"/>
      <c r="K124" s="45"/>
    </row>
    <row r="125" spans="1:16" ht="23.25" x14ac:dyDescent="0.3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</row>
    <row r="126" spans="1:16" ht="23.25" x14ac:dyDescent="0.35">
      <c r="A126" s="110" t="s">
        <v>17</v>
      </c>
      <c r="B126" s="111"/>
      <c r="C126" s="112"/>
      <c r="D126" s="46" t="s">
        <v>20</v>
      </c>
      <c r="E126" s="46" t="s">
        <v>21</v>
      </c>
      <c r="F126" s="46" t="s">
        <v>8</v>
      </c>
      <c r="G126" s="45"/>
      <c r="H126" s="108" t="s">
        <v>39</v>
      </c>
      <c r="I126" s="108"/>
      <c r="J126" s="108"/>
      <c r="K126" s="45"/>
    </row>
    <row r="127" spans="1:16" ht="23.25" x14ac:dyDescent="0.35">
      <c r="A127" s="113" t="s">
        <v>18</v>
      </c>
      <c r="B127" s="114"/>
      <c r="C127" s="115"/>
      <c r="D127" s="49">
        <f>'Camiguin BL'!D16</f>
        <v>4</v>
      </c>
      <c r="E127" s="49">
        <f>'Camiguin BL'!E16</f>
        <v>0</v>
      </c>
      <c r="F127" s="49">
        <f>'Camiguin BL'!F16</f>
        <v>0</v>
      </c>
      <c r="G127" s="45"/>
      <c r="H127" s="47"/>
      <c r="I127" s="50" t="s">
        <v>4</v>
      </c>
      <c r="J127" s="50" t="s">
        <v>98</v>
      </c>
      <c r="K127" s="45"/>
    </row>
    <row r="128" spans="1:16" ht="23.25" x14ac:dyDescent="0.35">
      <c r="A128" s="116" t="s">
        <v>42</v>
      </c>
      <c r="B128" s="117"/>
      <c r="C128" s="118"/>
      <c r="D128" s="49">
        <f>'Camiguin BL'!D17</f>
        <v>0</v>
      </c>
      <c r="E128" s="49">
        <f>'Camiguin BL'!E17</f>
        <v>4</v>
      </c>
      <c r="F128" s="49">
        <f>'Camiguin BL'!F17</f>
        <v>0</v>
      </c>
      <c r="G128" s="45"/>
      <c r="H128" s="88" t="s">
        <v>333</v>
      </c>
      <c r="I128" s="49"/>
      <c r="J128" s="49"/>
      <c r="K128" s="45"/>
    </row>
    <row r="129" spans="1:16" ht="23.25" x14ac:dyDescent="0.35">
      <c r="A129" s="54"/>
      <c r="B129" s="55"/>
      <c r="C129" s="55"/>
      <c r="D129" s="56"/>
      <c r="E129" s="56" t="s">
        <v>16</v>
      </c>
      <c r="F129" s="49">
        <f>'Camiguin BL'!F18</f>
        <v>4</v>
      </c>
      <c r="G129" s="45"/>
      <c r="H129" s="53" t="s">
        <v>340</v>
      </c>
      <c r="I129" s="49">
        <f>'Camiguin BL'!D24</f>
        <v>0</v>
      </c>
      <c r="J129" s="49">
        <f>'Camiguin BL'!E24</f>
        <v>0</v>
      </c>
      <c r="K129" s="45"/>
    </row>
    <row r="130" spans="1:16" ht="23.25" x14ac:dyDescent="0.35">
      <c r="A130" s="58"/>
      <c r="B130" s="58"/>
      <c r="C130" s="58"/>
      <c r="D130" s="59"/>
      <c r="E130" s="59"/>
      <c r="F130" s="59"/>
      <c r="G130" s="45"/>
      <c r="H130" s="53" t="s">
        <v>100</v>
      </c>
      <c r="I130" s="49">
        <f>'Camiguin BL'!D25</f>
        <v>0</v>
      </c>
      <c r="J130" s="49">
        <f>'Camiguin BL'!E25</f>
        <v>0</v>
      </c>
      <c r="K130" s="45"/>
    </row>
    <row r="131" spans="1:16" ht="23.25" x14ac:dyDescent="0.35">
      <c r="A131" s="58"/>
      <c r="B131" s="92" t="s">
        <v>392</v>
      </c>
      <c r="C131" s="92"/>
      <c r="D131" s="92"/>
      <c r="E131" s="59"/>
      <c r="F131" s="59"/>
      <c r="G131" s="45"/>
      <c r="H131" s="88" t="s">
        <v>7</v>
      </c>
      <c r="I131" s="49"/>
      <c r="J131" s="49"/>
      <c r="K131" s="45"/>
    </row>
    <row r="132" spans="1:16" ht="23.25" x14ac:dyDescent="0.35">
      <c r="A132" s="58"/>
      <c r="B132" s="47" t="s">
        <v>107</v>
      </c>
      <c r="C132" s="47"/>
      <c r="D132" s="49">
        <f>'Camiguin BL'!I16</f>
        <v>0</v>
      </c>
      <c r="E132" s="59"/>
      <c r="F132" s="59"/>
      <c r="G132" s="45"/>
      <c r="H132" s="53" t="s">
        <v>99</v>
      </c>
      <c r="I132" s="49">
        <f>'Camiguin BL'!D27</f>
        <v>0</v>
      </c>
      <c r="J132" s="49">
        <f>'Camiguin BL'!E27</f>
        <v>2</v>
      </c>
      <c r="K132" s="45"/>
    </row>
    <row r="133" spans="1:16" ht="23.25" x14ac:dyDescent="0.35">
      <c r="A133" s="58"/>
      <c r="B133" s="47" t="s">
        <v>108</v>
      </c>
      <c r="C133" s="47"/>
      <c r="D133" s="49">
        <f>'Camiguin BL'!I17</f>
        <v>0</v>
      </c>
      <c r="E133" s="59"/>
      <c r="F133" s="59"/>
      <c r="G133" s="45"/>
      <c r="H133" s="53" t="s">
        <v>100</v>
      </c>
      <c r="I133" s="49">
        <f>'Camiguin BL'!D28</f>
        <v>0</v>
      </c>
      <c r="J133" s="49">
        <f>'Camiguin BL'!E28</f>
        <v>0</v>
      </c>
      <c r="K133" s="45"/>
    </row>
    <row r="134" spans="1:16" ht="23.25" x14ac:dyDescent="0.35">
      <c r="A134" s="58"/>
      <c r="B134" s="47" t="s">
        <v>393</v>
      </c>
      <c r="C134" s="47"/>
      <c r="D134" s="49">
        <f>'Camiguin BL'!I18</f>
        <v>0</v>
      </c>
      <c r="E134" s="59"/>
      <c r="F134" s="59"/>
      <c r="G134" s="45"/>
      <c r="H134" s="88" t="s">
        <v>6</v>
      </c>
      <c r="I134" s="49"/>
      <c r="J134" s="49"/>
      <c r="K134" s="45"/>
      <c r="L134" s="15"/>
    </row>
    <row r="135" spans="1:16" ht="23.25" x14ac:dyDescent="0.35">
      <c r="A135" s="58"/>
      <c r="B135" s="47" t="s">
        <v>394</v>
      </c>
      <c r="C135" s="47"/>
      <c r="D135" s="49">
        <f>'Camiguin BL'!I19</f>
        <v>0</v>
      </c>
      <c r="E135" s="59"/>
      <c r="F135" s="59"/>
      <c r="G135" s="45"/>
      <c r="H135" s="88" t="s">
        <v>44</v>
      </c>
      <c r="I135" s="49"/>
      <c r="J135" s="49"/>
      <c r="K135" s="45"/>
      <c r="L135" s="15"/>
      <c r="O135" s="107"/>
      <c r="P135" s="107"/>
    </row>
    <row r="136" spans="1:16" ht="23.25" x14ac:dyDescent="0.35">
      <c r="A136" s="58"/>
      <c r="B136" s="58"/>
      <c r="C136" s="58"/>
      <c r="D136" s="59"/>
      <c r="E136" s="59"/>
      <c r="F136" s="59"/>
      <c r="G136" s="45"/>
      <c r="H136" s="53" t="s">
        <v>348</v>
      </c>
      <c r="I136" s="49"/>
      <c r="J136" s="49"/>
      <c r="K136" s="45"/>
      <c r="L136" s="15"/>
    </row>
    <row r="137" spans="1:16" ht="23.25" x14ac:dyDescent="0.35">
      <c r="A137" s="58"/>
      <c r="B137" s="58"/>
      <c r="C137" s="58"/>
      <c r="D137" s="59"/>
      <c r="E137" s="59"/>
      <c r="F137" s="59"/>
      <c r="G137" s="45"/>
      <c r="H137" s="53" t="s">
        <v>101</v>
      </c>
      <c r="I137" s="49">
        <f>'Camiguin BL'!D30</f>
        <v>0</v>
      </c>
      <c r="J137" s="49">
        <f>'Camiguin BL'!E30</f>
        <v>2</v>
      </c>
      <c r="K137" s="45"/>
      <c r="L137" s="15"/>
      <c r="O137" s="107"/>
      <c r="P137" s="107"/>
    </row>
    <row r="138" spans="1:16" ht="23.25" x14ac:dyDescent="0.35">
      <c r="A138" s="58"/>
      <c r="B138" s="58"/>
      <c r="C138" s="58"/>
      <c r="D138" s="59"/>
      <c r="E138" s="59"/>
      <c r="F138" s="59"/>
      <c r="G138" s="45"/>
      <c r="H138" s="108" t="s">
        <v>45</v>
      </c>
      <c r="I138" s="46">
        <f>SUM(I128:I137)</f>
        <v>0</v>
      </c>
      <c r="J138" s="46">
        <f>SUM(J128:J137)</f>
        <v>4</v>
      </c>
      <c r="K138" s="45"/>
    </row>
    <row r="139" spans="1:16" ht="23.25" x14ac:dyDescent="0.35">
      <c r="A139" s="58"/>
      <c r="B139" s="58"/>
      <c r="C139" s="58"/>
      <c r="D139" s="59"/>
      <c r="E139" s="59"/>
      <c r="F139" s="59"/>
      <c r="G139" s="45"/>
      <c r="H139" s="108"/>
      <c r="I139" s="109">
        <f>I138+J138</f>
        <v>4</v>
      </c>
      <c r="J139" s="109"/>
      <c r="K139" s="45"/>
    </row>
    <row r="141" spans="1:16" ht="23.25" x14ac:dyDescent="0.35">
      <c r="A141" s="119" t="s">
        <v>371</v>
      </c>
      <c r="B141" s="120"/>
      <c r="C141" s="120"/>
      <c r="D141" s="120"/>
      <c r="E141" s="120"/>
      <c r="F141" s="120"/>
      <c r="G141" s="120"/>
      <c r="H141" s="120"/>
      <c r="I141" s="120"/>
      <c r="J141" s="121"/>
      <c r="K141" s="45"/>
    </row>
    <row r="142" spans="1:16" ht="23.25" x14ac:dyDescent="0.3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</row>
    <row r="143" spans="1:16" ht="23.25" x14ac:dyDescent="0.35">
      <c r="A143" s="110" t="s">
        <v>17</v>
      </c>
      <c r="B143" s="111"/>
      <c r="C143" s="112"/>
      <c r="D143" s="46" t="s">
        <v>20</v>
      </c>
      <c r="E143" s="46" t="s">
        <v>21</v>
      </c>
      <c r="F143" s="46" t="s">
        <v>8</v>
      </c>
      <c r="G143" s="45"/>
      <c r="H143" s="108" t="s">
        <v>39</v>
      </c>
      <c r="I143" s="108"/>
      <c r="J143" s="108"/>
      <c r="K143" s="45"/>
    </row>
    <row r="144" spans="1:16" ht="23.25" x14ac:dyDescent="0.35">
      <c r="A144" s="113" t="s">
        <v>18</v>
      </c>
      <c r="B144" s="114"/>
      <c r="C144" s="115"/>
      <c r="D144" s="49">
        <f>'Butuan BL'!D17</f>
        <v>5</v>
      </c>
      <c r="E144" s="49">
        <f>'Butuan BL'!E17</f>
        <v>0</v>
      </c>
      <c r="F144" s="49">
        <f>'Butuan BL'!F17</f>
        <v>0</v>
      </c>
      <c r="G144" s="45"/>
      <c r="H144" s="47"/>
      <c r="I144" s="50" t="s">
        <v>4</v>
      </c>
      <c r="J144" s="50" t="s">
        <v>98</v>
      </c>
      <c r="K144" s="45"/>
    </row>
    <row r="145" spans="1:16" ht="23.25" x14ac:dyDescent="0.35">
      <c r="A145" s="116" t="s">
        <v>42</v>
      </c>
      <c r="B145" s="117"/>
      <c r="C145" s="118"/>
      <c r="D145" s="49">
        <f>'Butuan BL'!D18</f>
        <v>0</v>
      </c>
      <c r="E145" s="49">
        <f>'Butuan BL'!E18</f>
        <v>5</v>
      </c>
      <c r="F145" s="49">
        <f>'Butuan BL'!F18</f>
        <v>0</v>
      </c>
      <c r="G145" s="45"/>
      <c r="H145" s="88" t="s">
        <v>333</v>
      </c>
      <c r="I145" s="49"/>
      <c r="J145" s="49"/>
      <c r="K145" s="45"/>
    </row>
    <row r="146" spans="1:16" ht="23.25" x14ac:dyDescent="0.35">
      <c r="A146" s="54"/>
      <c r="B146" s="55"/>
      <c r="C146" s="55"/>
      <c r="D146" s="56"/>
      <c r="E146" s="56" t="s">
        <v>16</v>
      </c>
      <c r="F146" s="49">
        <f>'Butuan BL'!F19</f>
        <v>5</v>
      </c>
      <c r="G146" s="45"/>
      <c r="H146" s="53" t="s">
        <v>340</v>
      </c>
      <c r="I146" s="49">
        <f>'Butuan BL'!D24</f>
        <v>0</v>
      </c>
      <c r="J146" s="49">
        <f>'Butuan BL'!E24</f>
        <v>0</v>
      </c>
      <c r="K146" s="45"/>
    </row>
    <row r="147" spans="1:16" ht="23.25" x14ac:dyDescent="0.35">
      <c r="A147" s="58"/>
      <c r="B147" s="58"/>
      <c r="C147" s="58"/>
      <c r="D147" s="59"/>
      <c r="E147" s="59"/>
      <c r="F147" s="59"/>
      <c r="G147" s="45"/>
      <c r="H147" s="53" t="s">
        <v>100</v>
      </c>
      <c r="I147" s="49">
        <f>'Butuan BL'!D25</f>
        <v>0</v>
      </c>
      <c r="J147" s="49">
        <f>'Butuan BL'!E25</f>
        <v>1</v>
      </c>
      <c r="K147" s="45"/>
    </row>
    <row r="148" spans="1:16" ht="23.25" x14ac:dyDescent="0.35">
      <c r="A148" s="58"/>
      <c r="B148" s="92" t="s">
        <v>392</v>
      </c>
      <c r="C148" s="92"/>
      <c r="D148" s="92"/>
      <c r="E148" s="59"/>
      <c r="F148" s="59"/>
      <c r="G148" s="45"/>
      <c r="H148" s="88" t="s">
        <v>7</v>
      </c>
      <c r="I148" s="49"/>
      <c r="J148" s="49"/>
      <c r="K148" s="45"/>
    </row>
    <row r="149" spans="1:16" ht="23.25" x14ac:dyDescent="0.35">
      <c r="A149" s="58"/>
      <c r="B149" s="47" t="s">
        <v>107</v>
      </c>
      <c r="C149" s="47"/>
      <c r="D149" s="49">
        <f>'Butuan BL'!I17</f>
        <v>0</v>
      </c>
      <c r="E149" s="59"/>
      <c r="F149" s="59"/>
      <c r="G149" s="45"/>
      <c r="H149" s="53" t="s">
        <v>99</v>
      </c>
      <c r="I149" s="49">
        <f>'Butuan BL'!D27</f>
        <v>0</v>
      </c>
      <c r="J149" s="49">
        <f>'Butuan BL'!E27</f>
        <v>0</v>
      </c>
      <c r="K149" s="45"/>
    </row>
    <row r="150" spans="1:16" ht="23.25" x14ac:dyDescent="0.35">
      <c r="A150" s="58"/>
      <c r="B150" s="47" t="s">
        <v>108</v>
      </c>
      <c r="C150" s="47"/>
      <c r="D150" s="49">
        <f>'Butuan BL'!I18</f>
        <v>0</v>
      </c>
      <c r="E150" s="59"/>
      <c r="F150" s="59"/>
      <c r="G150" s="45"/>
      <c r="H150" s="53" t="s">
        <v>100</v>
      </c>
      <c r="I150" s="49">
        <f>'Butuan BL'!D28</f>
        <v>0</v>
      </c>
      <c r="J150" s="49">
        <f>'Butuan BL'!E28</f>
        <v>1</v>
      </c>
      <c r="K150" s="45"/>
    </row>
    <row r="151" spans="1:16" ht="23.25" x14ac:dyDescent="0.35">
      <c r="A151" s="58"/>
      <c r="B151" s="47" t="s">
        <v>393</v>
      </c>
      <c r="C151" s="47"/>
      <c r="D151" s="49">
        <f>'Butuan BL'!I19</f>
        <v>0</v>
      </c>
      <c r="E151" s="59"/>
      <c r="F151" s="59"/>
      <c r="G151" s="45"/>
      <c r="H151" s="88" t="s">
        <v>6</v>
      </c>
      <c r="I151" s="49"/>
      <c r="J151" s="49"/>
      <c r="K151" s="45"/>
      <c r="L151" s="15"/>
    </row>
    <row r="152" spans="1:16" ht="23.25" x14ac:dyDescent="0.35">
      <c r="A152" s="58"/>
      <c r="B152" s="47" t="s">
        <v>394</v>
      </c>
      <c r="C152" s="47"/>
      <c r="D152" s="49">
        <f>'Butuan BL'!I20</f>
        <v>0</v>
      </c>
      <c r="E152" s="59"/>
      <c r="F152" s="59"/>
      <c r="G152" s="45"/>
      <c r="H152" s="88" t="s">
        <v>44</v>
      </c>
      <c r="I152" s="49"/>
      <c r="J152" s="49"/>
      <c r="K152" s="45"/>
      <c r="L152" s="15"/>
      <c r="O152" s="107"/>
      <c r="P152" s="107"/>
    </row>
    <row r="153" spans="1:16" ht="23.25" x14ac:dyDescent="0.35">
      <c r="A153" s="58"/>
      <c r="B153" s="58"/>
      <c r="C153" s="58"/>
      <c r="D153" s="59"/>
      <c r="E153" s="59"/>
      <c r="F153" s="59"/>
      <c r="G153" s="45"/>
      <c r="H153" s="53" t="s">
        <v>348</v>
      </c>
      <c r="I153" s="49"/>
      <c r="J153" s="49"/>
      <c r="K153" s="45"/>
      <c r="L153" s="15"/>
    </row>
    <row r="154" spans="1:16" ht="23.25" x14ac:dyDescent="0.35">
      <c r="A154" s="58"/>
      <c r="B154" s="58"/>
      <c r="C154" s="58"/>
      <c r="D154" s="59"/>
      <c r="E154" s="59"/>
      <c r="F154" s="59"/>
      <c r="G154" s="45"/>
      <c r="H154" s="53" t="s">
        <v>101</v>
      </c>
      <c r="I154" s="49">
        <f>'Butuan BL'!D30</f>
        <v>1</v>
      </c>
      <c r="J154" s="49">
        <f>'Butuan BL'!E30</f>
        <v>2</v>
      </c>
      <c r="K154" s="45"/>
      <c r="L154" s="15"/>
      <c r="O154" s="107"/>
      <c r="P154" s="107"/>
    </row>
    <row r="155" spans="1:16" ht="23.25" x14ac:dyDescent="0.35">
      <c r="A155" s="58"/>
      <c r="B155" s="58"/>
      <c r="C155" s="58"/>
      <c r="D155" s="59"/>
      <c r="E155" s="59"/>
      <c r="F155" s="59"/>
      <c r="G155" s="45"/>
      <c r="H155" s="108" t="s">
        <v>45</v>
      </c>
      <c r="I155" s="46">
        <f>SUM(I145:I154)</f>
        <v>1</v>
      </c>
      <c r="J155" s="46">
        <f>SUM(J145:J154)</f>
        <v>4</v>
      </c>
      <c r="K155" s="45"/>
    </row>
    <row r="156" spans="1:16" ht="23.25" x14ac:dyDescent="0.35">
      <c r="A156" s="58"/>
      <c r="B156" s="58"/>
      <c r="C156" s="58"/>
      <c r="D156" s="59"/>
      <c r="E156" s="59"/>
      <c r="F156" s="59"/>
      <c r="G156" s="45"/>
      <c r="H156" s="108"/>
      <c r="I156" s="109">
        <f>I155+J155</f>
        <v>5</v>
      </c>
      <c r="J156" s="109"/>
      <c r="K156" s="45"/>
    </row>
    <row r="158" spans="1:16" ht="23.25" x14ac:dyDescent="0.35">
      <c r="A158" s="119" t="s">
        <v>372</v>
      </c>
      <c r="B158" s="120"/>
      <c r="C158" s="120"/>
      <c r="D158" s="120"/>
      <c r="E158" s="120"/>
      <c r="F158" s="120"/>
      <c r="G158" s="120"/>
      <c r="H158" s="120"/>
      <c r="I158" s="120"/>
      <c r="J158" s="121"/>
      <c r="K158" s="45"/>
    </row>
    <row r="159" spans="1:16" ht="23.25" x14ac:dyDescent="0.3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</row>
    <row r="160" spans="1:16" ht="23.25" x14ac:dyDescent="0.35">
      <c r="A160" s="110" t="s">
        <v>17</v>
      </c>
      <c r="B160" s="111"/>
      <c r="C160" s="112"/>
      <c r="D160" s="46" t="s">
        <v>20</v>
      </c>
      <c r="E160" s="46" t="s">
        <v>21</v>
      </c>
      <c r="F160" s="46" t="s">
        <v>8</v>
      </c>
      <c r="G160" s="45"/>
      <c r="H160" s="108" t="s">
        <v>39</v>
      </c>
      <c r="I160" s="108"/>
      <c r="J160" s="108"/>
      <c r="K160" s="45"/>
    </row>
    <row r="161" spans="1:16" ht="23.25" x14ac:dyDescent="0.35">
      <c r="A161" s="113" t="s">
        <v>18</v>
      </c>
      <c r="B161" s="114"/>
      <c r="C161" s="115"/>
      <c r="D161" s="49">
        <f>'Kibawe BL'!D17</f>
        <v>5</v>
      </c>
      <c r="E161" s="49">
        <f>'Kibawe BL'!E17</f>
        <v>0</v>
      </c>
      <c r="F161" s="49">
        <f>'Kibawe BL'!F17</f>
        <v>0</v>
      </c>
      <c r="G161" s="45"/>
      <c r="H161" s="47"/>
      <c r="I161" s="50" t="s">
        <v>4</v>
      </c>
      <c r="J161" s="50" t="s">
        <v>98</v>
      </c>
      <c r="K161" s="45"/>
    </row>
    <row r="162" spans="1:16" ht="23.25" x14ac:dyDescent="0.35">
      <c r="A162" s="116" t="s">
        <v>42</v>
      </c>
      <c r="B162" s="117"/>
      <c r="C162" s="118"/>
      <c r="D162" s="49">
        <f>'Kibawe BL'!D18</f>
        <v>0</v>
      </c>
      <c r="E162" s="49">
        <f>'Kibawe BL'!E18</f>
        <v>5</v>
      </c>
      <c r="F162" s="49">
        <f>'Kibawe BL'!F18</f>
        <v>0</v>
      </c>
      <c r="G162" s="45"/>
      <c r="H162" s="88" t="s">
        <v>333</v>
      </c>
      <c r="I162" s="49"/>
      <c r="J162" s="49"/>
      <c r="K162" s="45"/>
    </row>
    <row r="163" spans="1:16" ht="23.25" x14ac:dyDescent="0.35">
      <c r="A163" s="54"/>
      <c r="B163" s="55"/>
      <c r="C163" s="55"/>
      <c r="D163" s="56"/>
      <c r="E163" s="56" t="s">
        <v>16</v>
      </c>
      <c r="F163" s="49">
        <f>'Kibawe BL'!F19</f>
        <v>5</v>
      </c>
      <c r="G163" s="45"/>
      <c r="H163" s="53" t="s">
        <v>340</v>
      </c>
      <c r="I163" s="49">
        <f>'Kibawe BL'!D24</f>
        <v>0</v>
      </c>
      <c r="J163" s="49">
        <f>'Kibawe BL'!E24</f>
        <v>0</v>
      </c>
      <c r="K163" s="45"/>
    </row>
    <row r="164" spans="1:16" ht="23.25" x14ac:dyDescent="0.35">
      <c r="A164" s="58"/>
      <c r="B164" s="58"/>
      <c r="C164" s="58"/>
      <c r="D164" s="59"/>
      <c r="E164" s="59"/>
      <c r="F164" s="59"/>
      <c r="G164" s="45"/>
      <c r="H164" s="53" t="s">
        <v>100</v>
      </c>
      <c r="I164" s="49">
        <f>'Kibawe BL'!D25</f>
        <v>1</v>
      </c>
      <c r="J164" s="49">
        <f>'Kibawe BL'!E25</f>
        <v>4</v>
      </c>
      <c r="K164" s="45"/>
    </row>
    <row r="165" spans="1:16" ht="23.25" x14ac:dyDescent="0.35">
      <c r="A165" s="58"/>
      <c r="B165" s="92" t="s">
        <v>392</v>
      </c>
      <c r="C165" s="92"/>
      <c r="D165" s="92"/>
      <c r="E165" s="59"/>
      <c r="F165" s="59"/>
      <c r="G165" s="45"/>
      <c r="H165" s="88" t="s">
        <v>7</v>
      </c>
      <c r="I165" s="49"/>
      <c r="J165" s="49"/>
      <c r="K165" s="45"/>
    </row>
    <row r="166" spans="1:16" ht="23.25" x14ac:dyDescent="0.35">
      <c r="A166" s="58"/>
      <c r="B166" s="47" t="s">
        <v>107</v>
      </c>
      <c r="C166" s="47"/>
      <c r="D166" s="49">
        <f>'Kibawe BL'!I17</f>
        <v>0</v>
      </c>
      <c r="E166" s="59"/>
      <c r="F166" s="59"/>
      <c r="G166" s="45"/>
      <c r="H166" s="53" t="s">
        <v>99</v>
      </c>
      <c r="I166" s="49"/>
      <c r="J166" s="49"/>
      <c r="K166" s="45"/>
    </row>
    <row r="167" spans="1:16" ht="23.25" x14ac:dyDescent="0.35">
      <c r="A167" s="58"/>
      <c r="B167" s="47" t="s">
        <v>108</v>
      </c>
      <c r="C167" s="47"/>
      <c r="D167" s="49">
        <f>'Head Office'!I189</f>
        <v>0</v>
      </c>
      <c r="E167" s="59"/>
      <c r="F167" s="59"/>
      <c r="G167" s="45"/>
      <c r="H167" s="53" t="s">
        <v>100</v>
      </c>
      <c r="I167" s="49"/>
      <c r="J167" s="49"/>
      <c r="K167" s="45"/>
    </row>
    <row r="168" spans="1:16" ht="23.25" x14ac:dyDescent="0.35">
      <c r="A168" s="58"/>
      <c r="B168" s="47" t="s">
        <v>393</v>
      </c>
      <c r="C168" s="47"/>
      <c r="D168" s="49">
        <f>'Head Office'!I190</f>
        <v>0</v>
      </c>
      <c r="E168" s="59"/>
      <c r="F168" s="59"/>
      <c r="G168" s="45"/>
      <c r="H168" s="88" t="s">
        <v>6</v>
      </c>
      <c r="I168" s="49"/>
      <c r="J168" s="49"/>
      <c r="K168" s="45"/>
      <c r="L168" s="15"/>
    </row>
    <row r="169" spans="1:16" ht="23.25" x14ac:dyDescent="0.35">
      <c r="A169" s="58"/>
      <c r="B169" s="47" t="s">
        <v>394</v>
      </c>
      <c r="C169" s="47"/>
      <c r="D169" s="49">
        <f>'Head Office'!I191</f>
        <v>0</v>
      </c>
      <c r="E169" s="59"/>
      <c r="F169" s="59"/>
      <c r="G169" s="45"/>
      <c r="H169" s="88" t="s">
        <v>44</v>
      </c>
      <c r="I169" s="49"/>
      <c r="J169" s="49"/>
      <c r="K169" s="45"/>
      <c r="L169" s="15"/>
      <c r="O169" s="107"/>
      <c r="P169" s="107"/>
    </row>
    <row r="170" spans="1:16" ht="23.25" x14ac:dyDescent="0.35">
      <c r="A170" s="58"/>
      <c r="B170" s="58"/>
      <c r="C170" s="58"/>
      <c r="D170" s="59"/>
      <c r="E170" s="59"/>
      <c r="F170" s="59"/>
      <c r="G170" s="45"/>
      <c r="H170" s="53" t="s">
        <v>348</v>
      </c>
      <c r="I170" s="49"/>
      <c r="J170" s="49"/>
      <c r="K170" s="45"/>
      <c r="L170" s="15"/>
    </row>
    <row r="171" spans="1:16" ht="23.25" x14ac:dyDescent="0.35">
      <c r="A171" s="58"/>
      <c r="B171" s="58"/>
      <c r="C171" s="58"/>
      <c r="D171" s="59"/>
      <c r="E171" s="59"/>
      <c r="F171" s="59"/>
      <c r="G171" s="45"/>
      <c r="H171" s="53" t="s">
        <v>101</v>
      </c>
      <c r="I171" s="49"/>
      <c r="J171" s="49"/>
      <c r="K171" s="45"/>
      <c r="L171" s="15"/>
      <c r="O171" s="107"/>
      <c r="P171" s="107"/>
    </row>
    <row r="172" spans="1:16" ht="23.25" x14ac:dyDescent="0.35">
      <c r="A172" s="58"/>
      <c r="B172" s="58"/>
      <c r="C172" s="58"/>
      <c r="D172" s="59"/>
      <c r="E172" s="59"/>
      <c r="F172" s="59"/>
      <c r="G172" s="45"/>
      <c r="H172" s="108" t="s">
        <v>45</v>
      </c>
      <c r="I172" s="46">
        <f>SUM(I162:I171)</f>
        <v>1</v>
      </c>
      <c r="J172" s="46">
        <f>SUM(J162:J171)</f>
        <v>4</v>
      </c>
      <c r="K172" s="45"/>
    </row>
    <row r="173" spans="1:16" ht="23.25" x14ac:dyDescent="0.35">
      <c r="A173" s="58"/>
      <c r="B173" s="58"/>
      <c r="C173" s="58"/>
      <c r="D173" s="59"/>
      <c r="E173" s="59"/>
      <c r="F173" s="59"/>
      <c r="G173" s="45"/>
      <c r="H173" s="108"/>
      <c r="I173" s="109">
        <f>I172+J172</f>
        <v>5</v>
      </c>
      <c r="J173" s="109"/>
      <c r="K173" s="45"/>
    </row>
    <row r="175" spans="1:16" ht="23.25" x14ac:dyDescent="0.35">
      <c r="A175" s="119" t="s">
        <v>395</v>
      </c>
      <c r="B175" s="120"/>
      <c r="C175" s="120"/>
      <c r="D175" s="120"/>
      <c r="E175" s="120"/>
      <c r="F175" s="120"/>
      <c r="G175" s="120"/>
      <c r="H175" s="120"/>
      <c r="I175" s="120"/>
      <c r="J175" s="121"/>
      <c r="K175" s="45"/>
    </row>
    <row r="176" spans="1:16" ht="23.25" x14ac:dyDescent="0.3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</row>
    <row r="177" spans="1:16" ht="23.25" x14ac:dyDescent="0.35">
      <c r="A177" s="110" t="s">
        <v>17</v>
      </c>
      <c r="B177" s="111"/>
      <c r="C177" s="112"/>
      <c r="D177" s="46" t="s">
        <v>20</v>
      </c>
      <c r="E177" s="46" t="s">
        <v>21</v>
      </c>
      <c r="F177" s="46" t="s">
        <v>8</v>
      </c>
      <c r="G177" s="45"/>
      <c r="H177" s="108" t="s">
        <v>39</v>
      </c>
      <c r="I177" s="108"/>
      <c r="J177" s="108"/>
      <c r="K177" s="45"/>
    </row>
    <row r="178" spans="1:16" ht="23.25" x14ac:dyDescent="0.35">
      <c r="A178" s="113" t="s">
        <v>18</v>
      </c>
      <c r="B178" s="114"/>
      <c r="C178" s="115"/>
      <c r="D178" s="49">
        <f>Spare!D16:D16</f>
        <v>4</v>
      </c>
      <c r="E178" s="49">
        <f>Spare!E16:E16</f>
        <v>0</v>
      </c>
      <c r="F178" s="49">
        <f>Spare!F16:F16</f>
        <v>0</v>
      </c>
      <c r="G178" s="45"/>
      <c r="H178" s="47"/>
      <c r="I178" s="50" t="s">
        <v>4</v>
      </c>
      <c r="J178" s="50" t="s">
        <v>98</v>
      </c>
      <c r="K178" s="45"/>
    </row>
    <row r="179" spans="1:16" ht="23.25" x14ac:dyDescent="0.35">
      <c r="A179" s="116" t="s">
        <v>42</v>
      </c>
      <c r="B179" s="117"/>
      <c r="C179" s="118"/>
      <c r="D179" s="49">
        <f>Spare!D17:D17</f>
        <v>0</v>
      </c>
      <c r="E179" s="49">
        <f>Spare!E17:E17</f>
        <v>4</v>
      </c>
      <c r="F179" s="49">
        <f>Spare!F17:F17</f>
        <v>0</v>
      </c>
      <c r="G179" s="45"/>
      <c r="H179" s="88" t="s">
        <v>333</v>
      </c>
      <c r="I179" s="49"/>
      <c r="J179" s="49"/>
      <c r="K179" s="45"/>
    </row>
    <row r="180" spans="1:16" ht="23.25" x14ac:dyDescent="0.35">
      <c r="A180" s="54"/>
      <c r="B180" s="55"/>
      <c r="C180" s="55"/>
      <c r="D180" s="56"/>
      <c r="E180" s="56" t="s">
        <v>16</v>
      </c>
      <c r="F180" s="49">
        <f>Spare!F18:F18</f>
        <v>4</v>
      </c>
      <c r="G180" s="45"/>
      <c r="H180" s="53" t="s">
        <v>340</v>
      </c>
      <c r="I180" s="49">
        <f>Spare!D23</f>
        <v>0</v>
      </c>
      <c r="J180" s="49">
        <f>Spare!E23</f>
        <v>0</v>
      </c>
      <c r="K180" s="45"/>
    </row>
    <row r="181" spans="1:16" ht="23.25" x14ac:dyDescent="0.35">
      <c r="A181" s="58"/>
      <c r="B181" s="58"/>
      <c r="C181" s="58"/>
      <c r="D181" s="59"/>
      <c r="E181" s="59"/>
      <c r="F181" s="59"/>
      <c r="G181" s="45"/>
      <c r="H181" s="53" t="s">
        <v>100</v>
      </c>
      <c r="I181" s="49">
        <f>Spare!D24</f>
        <v>0</v>
      </c>
      <c r="J181" s="49">
        <f>Spare!E24</f>
        <v>0</v>
      </c>
      <c r="K181" s="45"/>
    </row>
    <row r="182" spans="1:16" ht="23.25" x14ac:dyDescent="0.35">
      <c r="A182" s="58"/>
      <c r="B182" s="92" t="s">
        <v>392</v>
      </c>
      <c r="C182" s="92"/>
      <c r="D182" s="92"/>
      <c r="E182" s="59"/>
      <c r="F182" s="59"/>
      <c r="G182" s="45"/>
      <c r="H182" s="88" t="s">
        <v>7</v>
      </c>
      <c r="I182" s="49"/>
      <c r="J182" s="49"/>
      <c r="K182" s="45"/>
    </row>
    <row r="183" spans="1:16" ht="23.25" x14ac:dyDescent="0.35">
      <c r="A183" s="58"/>
      <c r="B183" s="47" t="s">
        <v>107</v>
      </c>
      <c r="C183" s="47"/>
      <c r="D183" s="49">
        <f>'Kibawe BL'!I34</f>
        <v>0</v>
      </c>
      <c r="E183" s="59"/>
      <c r="F183" s="59"/>
      <c r="G183" s="45"/>
      <c r="H183" s="53" t="s">
        <v>99</v>
      </c>
      <c r="I183" s="49">
        <f>Spare!D26</f>
        <v>0</v>
      </c>
      <c r="J183" s="49">
        <f>Spare!E26</f>
        <v>0</v>
      </c>
      <c r="K183" s="45"/>
    </row>
    <row r="184" spans="1:16" ht="23.25" x14ac:dyDescent="0.35">
      <c r="A184" s="58"/>
      <c r="B184" s="47" t="s">
        <v>108</v>
      </c>
      <c r="C184" s="47"/>
      <c r="D184" s="49">
        <f>'Head Office'!I206</f>
        <v>0</v>
      </c>
      <c r="E184" s="59"/>
      <c r="F184" s="59"/>
      <c r="G184" s="45"/>
      <c r="H184" s="53" t="s">
        <v>100</v>
      </c>
      <c r="I184" s="49">
        <f>Spare!D27</f>
        <v>0</v>
      </c>
      <c r="J184" s="49">
        <f>Spare!E27</f>
        <v>0</v>
      </c>
      <c r="K184" s="45"/>
    </row>
    <row r="185" spans="1:16" ht="23.25" x14ac:dyDescent="0.35">
      <c r="A185" s="58"/>
      <c r="B185" s="47" t="s">
        <v>393</v>
      </c>
      <c r="C185" s="47"/>
      <c r="D185" s="49">
        <f>'Head Office'!I207</f>
        <v>0</v>
      </c>
      <c r="E185" s="59"/>
      <c r="F185" s="59"/>
      <c r="G185" s="45"/>
      <c r="H185" s="88" t="s">
        <v>6</v>
      </c>
      <c r="I185" s="49">
        <f>Spare!D29</f>
        <v>1</v>
      </c>
      <c r="J185" s="49">
        <f>Spare!E29</f>
        <v>0</v>
      </c>
      <c r="K185" s="45"/>
      <c r="L185" s="15"/>
    </row>
    <row r="186" spans="1:16" ht="23.25" x14ac:dyDescent="0.35">
      <c r="A186" s="58"/>
      <c r="B186" s="47" t="s">
        <v>394</v>
      </c>
      <c r="C186" s="47"/>
      <c r="D186" s="49">
        <f>'Head Office'!I208</f>
        <v>0</v>
      </c>
      <c r="E186" s="59"/>
      <c r="F186" s="59"/>
      <c r="G186" s="45"/>
      <c r="H186" s="88" t="s">
        <v>44</v>
      </c>
      <c r="I186" s="49"/>
      <c r="J186" s="49"/>
      <c r="K186" s="45"/>
      <c r="L186" s="15"/>
      <c r="O186" s="107"/>
      <c r="P186" s="107"/>
    </row>
    <row r="187" spans="1:16" ht="23.25" x14ac:dyDescent="0.35">
      <c r="A187" s="58"/>
      <c r="B187" s="58"/>
      <c r="C187" s="58"/>
      <c r="D187" s="59"/>
      <c r="E187" s="59"/>
      <c r="F187" s="59"/>
      <c r="G187" s="45"/>
      <c r="H187" s="53" t="s">
        <v>348</v>
      </c>
      <c r="I187" s="49"/>
      <c r="J187" s="49"/>
      <c r="K187" s="45"/>
      <c r="L187" s="15"/>
    </row>
    <row r="188" spans="1:16" ht="23.25" x14ac:dyDescent="0.35">
      <c r="A188" s="58"/>
      <c r="B188" s="58"/>
      <c r="C188" s="58"/>
      <c r="D188" s="59"/>
      <c r="E188" s="59"/>
      <c r="F188" s="59"/>
      <c r="G188" s="45"/>
      <c r="H188" s="53" t="s">
        <v>101</v>
      </c>
      <c r="I188" s="49">
        <f>Spare!D31</f>
        <v>3</v>
      </c>
      <c r="J188" s="49">
        <f>Spare!E31</f>
        <v>0</v>
      </c>
      <c r="K188" s="45"/>
      <c r="L188" s="15"/>
      <c r="O188" s="107"/>
      <c r="P188" s="107"/>
    </row>
    <row r="189" spans="1:16" ht="23.25" x14ac:dyDescent="0.35">
      <c r="A189" s="58"/>
      <c r="B189" s="58"/>
      <c r="C189" s="58"/>
      <c r="D189" s="59"/>
      <c r="E189" s="59"/>
      <c r="F189" s="59"/>
      <c r="G189" s="45"/>
      <c r="H189" s="108" t="s">
        <v>45</v>
      </c>
      <c r="I189" s="46">
        <f>SUM(I179:I188)</f>
        <v>4</v>
      </c>
      <c r="J189" s="46">
        <f>SUM(J179:J188)</f>
        <v>0</v>
      </c>
      <c r="K189" s="45"/>
    </row>
    <row r="190" spans="1:16" ht="23.25" x14ac:dyDescent="0.35">
      <c r="A190" s="58"/>
      <c r="B190" s="58"/>
      <c r="C190" s="58"/>
      <c r="D190" s="59"/>
      <c r="E190" s="59"/>
      <c r="F190" s="59"/>
      <c r="G190" s="45"/>
      <c r="H190" s="108"/>
      <c r="I190" s="109">
        <f>I189+J189</f>
        <v>4</v>
      </c>
      <c r="J190" s="109"/>
      <c r="K190" s="45"/>
    </row>
  </sheetData>
  <mergeCells count="105">
    <mergeCell ref="O169:P169"/>
    <mergeCell ref="O171:P171"/>
    <mergeCell ref="H172:H173"/>
    <mergeCell ref="I173:J173"/>
    <mergeCell ref="M5:P5"/>
    <mergeCell ref="M6:O6"/>
    <mergeCell ref="M7:O7"/>
    <mergeCell ref="A158:J158"/>
    <mergeCell ref="A160:C160"/>
    <mergeCell ref="H160:J160"/>
    <mergeCell ref="A161:C161"/>
    <mergeCell ref="A162:C162"/>
    <mergeCell ref="A144:C144"/>
    <mergeCell ref="A145:C145"/>
    <mergeCell ref="O152:P152"/>
    <mergeCell ref="O154:P154"/>
    <mergeCell ref="O135:P135"/>
    <mergeCell ref="H155:H156"/>
    <mergeCell ref="I156:J156"/>
    <mergeCell ref="O137:P137"/>
    <mergeCell ref="H138:H139"/>
    <mergeCell ref="I139:J139"/>
    <mergeCell ref="A141:J141"/>
    <mergeCell ref="A143:C143"/>
    <mergeCell ref="H143:J143"/>
    <mergeCell ref="O118:P118"/>
    <mergeCell ref="O120:P120"/>
    <mergeCell ref="H121:H122"/>
    <mergeCell ref="I122:J122"/>
    <mergeCell ref="A124:J124"/>
    <mergeCell ref="A126:C126"/>
    <mergeCell ref="H126:J126"/>
    <mergeCell ref="A127:C127"/>
    <mergeCell ref="A128:C128"/>
    <mergeCell ref="O101:P101"/>
    <mergeCell ref="O103:P103"/>
    <mergeCell ref="H104:H105"/>
    <mergeCell ref="I105:J105"/>
    <mergeCell ref="A107:J107"/>
    <mergeCell ref="A109:C109"/>
    <mergeCell ref="H109:J109"/>
    <mergeCell ref="A110:C110"/>
    <mergeCell ref="A111:C111"/>
    <mergeCell ref="O84:P84"/>
    <mergeCell ref="O86:P86"/>
    <mergeCell ref="H87:H88"/>
    <mergeCell ref="I88:J88"/>
    <mergeCell ref="A90:J90"/>
    <mergeCell ref="A92:C92"/>
    <mergeCell ref="H92:J92"/>
    <mergeCell ref="A93:C93"/>
    <mergeCell ref="A94:C94"/>
    <mergeCell ref="O67:P67"/>
    <mergeCell ref="O69:P69"/>
    <mergeCell ref="H70:H71"/>
    <mergeCell ref="I71:J71"/>
    <mergeCell ref="A73:J73"/>
    <mergeCell ref="A75:C75"/>
    <mergeCell ref="H75:J75"/>
    <mergeCell ref="A76:C76"/>
    <mergeCell ref="A77:C77"/>
    <mergeCell ref="O50:P50"/>
    <mergeCell ref="O52:P52"/>
    <mergeCell ref="H53:H54"/>
    <mergeCell ref="I54:J54"/>
    <mergeCell ref="A56:J56"/>
    <mergeCell ref="A58:C58"/>
    <mergeCell ref="H58:J58"/>
    <mergeCell ref="A59:C59"/>
    <mergeCell ref="A60:C60"/>
    <mergeCell ref="O33:P33"/>
    <mergeCell ref="O35:P35"/>
    <mergeCell ref="A39:J39"/>
    <mergeCell ref="A41:C41"/>
    <mergeCell ref="H41:J41"/>
    <mergeCell ref="H36:H37"/>
    <mergeCell ref="I37:J37"/>
    <mergeCell ref="A42:C42"/>
    <mergeCell ref="A43:C43"/>
    <mergeCell ref="A1:K1"/>
    <mergeCell ref="A2:K2"/>
    <mergeCell ref="A3:K3"/>
    <mergeCell ref="A5:J5"/>
    <mergeCell ref="A7:C7"/>
    <mergeCell ref="H7:J7"/>
    <mergeCell ref="A26:C26"/>
    <mergeCell ref="O16:P16"/>
    <mergeCell ref="O18:P18"/>
    <mergeCell ref="A8:C8"/>
    <mergeCell ref="A9:C9"/>
    <mergeCell ref="A24:C24"/>
    <mergeCell ref="A25:C25"/>
    <mergeCell ref="H19:H20"/>
    <mergeCell ref="I20:J20"/>
    <mergeCell ref="A22:J22"/>
    <mergeCell ref="H24:J24"/>
    <mergeCell ref="O188:P188"/>
    <mergeCell ref="H189:H190"/>
    <mergeCell ref="I190:J190"/>
    <mergeCell ref="A177:C177"/>
    <mergeCell ref="H177:J177"/>
    <mergeCell ref="A178:C178"/>
    <mergeCell ref="A179:C179"/>
    <mergeCell ref="O186:P186"/>
    <mergeCell ref="A175:J175"/>
  </mergeCells>
  <phoneticPr fontId="8" type="noConversion"/>
  <pageMargins left="0.25" right="0.25" top="0.75" bottom="0.75" header="0.3" footer="0.3"/>
  <pageSetup paperSize="14" scale="29" fitToHeight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114"/>
  <sheetViews>
    <sheetView zoomScale="40" zoomScaleNormal="40" zoomScaleSheetLayoutView="80" workbookViewId="0">
      <selection activeCell="O21" sqref="O21"/>
    </sheetView>
  </sheetViews>
  <sheetFormatPr defaultRowHeight="15" x14ac:dyDescent="0.25"/>
  <cols>
    <col min="3" max="3" width="22.28515625" customWidth="1"/>
    <col min="4" max="4" width="14.28515625" customWidth="1"/>
    <col min="5" max="5" width="17" bestFit="1" customWidth="1"/>
    <col min="6" max="6" width="14.28515625" customWidth="1"/>
    <col min="7" max="7" width="1.7109375" customWidth="1"/>
    <col min="8" max="8" width="29" customWidth="1"/>
    <col min="9" max="9" width="18.7109375" customWidth="1"/>
    <col min="10" max="10" width="17.7109375" bestFit="1" customWidth="1"/>
    <col min="11" max="11" width="10.7109375" customWidth="1"/>
    <col min="12" max="12" width="33.42578125" bestFit="1" customWidth="1"/>
    <col min="13" max="13" width="41.28515625" customWidth="1"/>
    <col min="14" max="14" width="7.7109375" customWidth="1"/>
    <col min="15" max="15" width="80.7109375" customWidth="1"/>
    <col min="16" max="16" width="12" customWidth="1"/>
    <col min="17" max="17" width="10.42578125" customWidth="1"/>
    <col min="18" max="18" width="3.5703125" customWidth="1"/>
  </cols>
  <sheetData>
    <row r="1" spans="1:17" ht="23.25" x14ac:dyDescent="0.35">
      <c r="A1" s="122" t="s">
        <v>22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3"/>
      <c r="Q1" s="13"/>
    </row>
    <row r="2" spans="1:17" ht="23.25" x14ac:dyDescent="0.35">
      <c r="A2" s="122" t="s">
        <v>23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3"/>
      <c r="Q2" s="13"/>
    </row>
    <row r="3" spans="1:17" ht="23.25" x14ac:dyDescent="0.35">
      <c r="A3" s="122" t="s">
        <v>279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3"/>
      <c r="Q3" s="13"/>
    </row>
    <row r="4" spans="1:17" ht="1.5" customHeight="1" x14ac:dyDescent="0.3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7" ht="12" customHeight="1" x14ac:dyDescent="0.3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1:17" ht="12" customHeight="1" x14ac:dyDescent="0.3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 spans="1:17" ht="23.25" x14ac:dyDescent="0.35">
      <c r="A7" s="119" t="s">
        <v>24</v>
      </c>
      <c r="B7" s="120"/>
      <c r="C7" s="120"/>
      <c r="D7" s="120"/>
      <c r="E7" s="120"/>
      <c r="F7" s="120"/>
      <c r="G7" s="120"/>
      <c r="H7" s="120"/>
      <c r="I7" s="120"/>
      <c r="J7" s="121"/>
      <c r="K7" s="45"/>
      <c r="L7" s="119" t="s">
        <v>38</v>
      </c>
      <c r="M7" s="120"/>
      <c r="N7" s="120"/>
      <c r="O7" s="121"/>
    </row>
    <row r="8" spans="1:17" ht="1.5" customHeight="1" x14ac:dyDescent="0.3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7" ht="23.25" x14ac:dyDescent="0.35">
      <c r="A9" s="110" t="s">
        <v>17</v>
      </c>
      <c r="B9" s="111"/>
      <c r="C9" s="112"/>
      <c r="D9" s="46" t="s">
        <v>20</v>
      </c>
      <c r="E9" s="46" t="s">
        <v>21</v>
      </c>
      <c r="F9" s="46" t="s">
        <v>8</v>
      </c>
      <c r="G9" s="45"/>
      <c r="H9" s="108" t="s">
        <v>39</v>
      </c>
      <c r="I9" s="108"/>
      <c r="J9" s="108"/>
      <c r="K9" s="45"/>
      <c r="L9" s="123" t="s">
        <v>41</v>
      </c>
      <c r="M9" s="124"/>
      <c r="N9" s="125"/>
      <c r="O9" s="49" t="s">
        <v>43</v>
      </c>
    </row>
    <row r="10" spans="1:17" ht="23.25" x14ac:dyDescent="0.35">
      <c r="A10" s="113" t="s">
        <v>18</v>
      </c>
      <c r="B10" s="114"/>
      <c r="C10" s="115"/>
      <c r="D10" s="49">
        <f>'Head Office'!D35</f>
        <v>25</v>
      </c>
      <c r="E10" s="49">
        <f>'Head Office'!E35</f>
        <v>7</v>
      </c>
      <c r="F10" s="49">
        <f>'Head Office'!F35</f>
        <v>1</v>
      </c>
      <c r="G10" s="45"/>
      <c r="H10" s="47"/>
      <c r="I10" s="50" t="s">
        <v>4</v>
      </c>
      <c r="J10" s="50" t="s">
        <v>98</v>
      </c>
      <c r="K10" s="45"/>
      <c r="L10" s="126" t="s">
        <v>20</v>
      </c>
      <c r="M10" s="127"/>
      <c r="N10" s="128"/>
      <c r="O10" s="46"/>
    </row>
    <row r="11" spans="1:17" ht="23.25" x14ac:dyDescent="0.35">
      <c r="A11" s="116" t="s">
        <v>42</v>
      </c>
      <c r="B11" s="117"/>
      <c r="C11" s="118"/>
      <c r="D11" s="49">
        <f>'Head Office'!D36</f>
        <v>0</v>
      </c>
      <c r="E11" s="49">
        <f>'Head Office'!E36</f>
        <v>18</v>
      </c>
      <c r="F11" s="49">
        <f>'Head Office'!F36</f>
        <v>0</v>
      </c>
      <c r="G11" s="45"/>
      <c r="H11" s="88" t="s">
        <v>333</v>
      </c>
      <c r="I11" s="49"/>
      <c r="J11" s="49"/>
      <c r="K11" s="45"/>
      <c r="L11" s="53" t="s">
        <v>44</v>
      </c>
      <c r="M11" s="123">
        <v>66</v>
      </c>
      <c r="N11" s="125"/>
      <c r="O11" s="53">
        <v>0</v>
      </c>
    </row>
    <row r="12" spans="1:17" ht="23.25" x14ac:dyDescent="0.35">
      <c r="A12" s="54"/>
      <c r="B12" s="55"/>
      <c r="C12" s="55"/>
      <c r="D12" s="56"/>
      <c r="E12" s="56" t="s">
        <v>16</v>
      </c>
      <c r="F12" s="49">
        <f>'Head Office'!F37</f>
        <v>24</v>
      </c>
      <c r="G12" s="45"/>
      <c r="H12" s="53" t="s">
        <v>340</v>
      </c>
      <c r="I12" s="49"/>
      <c r="J12" s="49"/>
      <c r="K12" s="45"/>
      <c r="L12" s="53" t="s">
        <v>7</v>
      </c>
      <c r="M12" s="136">
        <v>22</v>
      </c>
      <c r="N12" s="137"/>
      <c r="O12" s="53">
        <v>0</v>
      </c>
    </row>
    <row r="13" spans="1:17" ht="23.25" x14ac:dyDescent="0.35">
      <c r="A13" s="58"/>
      <c r="B13" s="58"/>
      <c r="C13" s="58"/>
      <c r="D13" s="59"/>
      <c r="E13" s="59"/>
      <c r="F13" s="59"/>
      <c r="G13" s="45"/>
      <c r="H13" s="53" t="s">
        <v>100</v>
      </c>
      <c r="I13" s="49"/>
      <c r="J13" s="49"/>
      <c r="K13" s="45"/>
      <c r="L13" s="84"/>
      <c r="M13" s="85"/>
      <c r="N13" s="86"/>
      <c r="O13" s="53"/>
    </row>
    <row r="14" spans="1:17" ht="23.25" x14ac:dyDescent="0.35">
      <c r="A14" s="58"/>
      <c r="B14" s="58"/>
      <c r="C14" s="58"/>
      <c r="D14" s="59"/>
      <c r="E14" s="59"/>
      <c r="F14" s="59"/>
      <c r="G14" s="45"/>
      <c r="H14" s="88" t="s">
        <v>7</v>
      </c>
      <c r="I14" s="49"/>
      <c r="J14" s="49"/>
      <c r="K14" s="45"/>
      <c r="L14" s="84"/>
      <c r="M14" s="85"/>
      <c r="N14" s="86"/>
      <c r="O14" s="53"/>
    </row>
    <row r="15" spans="1:17" ht="24" thickBot="1" x14ac:dyDescent="0.4">
      <c r="A15" s="58"/>
      <c r="B15" s="58"/>
      <c r="C15" s="58"/>
      <c r="D15" s="59"/>
      <c r="E15" s="59"/>
      <c r="F15" s="59"/>
      <c r="G15" s="45"/>
      <c r="H15" s="53" t="s">
        <v>99</v>
      </c>
      <c r="I15" s="49">
        <v>7</v>
      </c>
      <c r="J15" s="49">
        <v>0</v>
      </c>
      <c r="K15" s="45"/>
      <c r="L15" s="60" t="s">
        <v>103</v>
      </c>
      <c r="M15" s="138">
        <f>M11+M12</f>
        <v>88</v>
      </c>
      <c r="N15" s="139"/>
      <c r="O15" s="50" t="s">
        <v>278</v>
      </c>
    </row>
    <row r="16" spans="1:17" ht="24" thickTop="1" x14ac:dyDescent="0.35">
      <c r="A16" s="58"/>
      <c r="B16" s="58"/>
      <c r="C16" s="58"/>
      <c r="D16" s="59"/>
      <c r="E16" s="59"/>
      <c r="F16" s="59"/>
      <c r="G16" s="45"/>
      <c r="H16" s="53" t="s">
        <v>100</v>
      </c>
      <c r="I16" s="49">
        <v>0</v>
      </c>
      <c r="J16" s="49">
        <v>9</v>
      </c>
      <c r="K16" s="45"/>
      <c r="L16" s="83" t="s">
        <v>40</v>
      </c>
      <c r="M16" s="154"/>
      <c r="N16" s="155"/>
      <c r="O16" s="46"/>
    </row>
    <row r="17" spans="1:20" ht="23.25" x14ac:dyDescent="0.35">
      <c r="A17" s="58"/>
      <c r="B17" s="58"/>
      <c r="C17" s="58"/>
      <c r="D17" s="59"/>
      <c r="E17" s="59"/>
      <c r="F17" s="59"/>
      <c r="G17" s="45"/>
      <c r="H17" s="88" t="s">
        <v>6</v>
      </c>
      <c r="I17" s="49">
        <v>0</v>
      </c>
      <c r="J17" s="49">
        <v>0</v>
      </c>
      <c r="K17" s="45"/>
      <c r="L17" s="49" t="s">
        <v>107</v>
      </c>
      <c r="M17" s="136">
        <v>25</v>
      </c>
      <c r="N17" s="137"/>
      <c r="O17" s="53">
        <v>0</v>
      </c>
      <c r="P17" s="15"/>
    </row>
    <row r="18" spans="1:20" ht="23.25" x14ac:dyDescent="0.35">
      <c r="A18" s="58"/>
      <c r="B18" s="58"/>
      <c r="C18" s="58"/>
      <c r="D18" s="59"/>
      <c r="E18" s="59"/>
      <c r="F18" s="59"/>
      <c r="G18" s="45"/>
      <c r="H18" s="88" t="s">
        <v>44</v>
      </c>
      <c r="I18" s="49"/>
      <c r="J18" s="49"/>
      <c r="K18" s="45"/>
      <c r="L18" s="49" t="s">
        <v>108</v>
      </c>
      <c r="M18" s="136">
        <v>5</v>
      </c>
      <c r="N18" s="137"/>
      <c r="O18" s="53"/>
      <c r="P18" s="15"/>
      <c r="S18" s="107"/>
      <c r="T18" s="107"/>
    </row>
    <row r="19" spans="1:20" ht="24" thickBot="1" x14ac:dyDescent="0.4">
      <c r="A19" s="58"/>
      <c r="B19" s="58"/>
      <c r="C19" s="58"/>
      <c r="D19" s="59"/>
      <c r="E19" s="59"/>
      <c r="F19" s="59"/>
      <c r="G19" s="45"/>
      <c r="H19" s="53" t="s">
        <v>101</v>
      </c>
      <c r="I19" s="49">
        <v>4</v>
      </c>
      <c r="J19" s="49">
        <v>3</v>
      </c>
      <c r="K19" s="45"/>
      <c r="L19" s="61" t="s">
        <v>103</v>
      </c>
      <c r="M19" s="138">
        <f>M17+M18</f>
        <v>30</v>
      </c>
      <c r="N19" s="139"/>
      <c r="O19" s="50">
        <v>0</v>
      </c>
      <c r="P19" s="15"/>
    </row>
    <row r="20" spans="1:20" ht="24" thickTop="1" x14ac:dyDescent="0.35">
      <c r="A20" s="58"/>
      <c r="B20" s="58"/>
      <c r="C20" s="58"/>
      <c r="D20" s="59"/>
      <c r="E20" s="59"/>
      <c r="F20" s="59"/>
      <c r="G20" s="45"/>
      <c r="H20" s="53" t="s">
        <v>102</v>
      </c>
      <c r="I20" s="49">
        <v>1</v>
      </c>
      <c r="J20" s="49">
        <v>0</v>
      </c>
      <c r="K20" s="45"/>
      <c r="L20" s="62" t="s">
        <v>8</v>
      </c>
      <c r="M20" s="156">
        <f>SUM(F10,F26,F37,F48,F59,F71,F84,F95)</f>
        <v>42</v>
      </c>
      <c r="N20" s="157"/>
      <c r="O20" s="50">
        <f>SUM(F11,F27,F38,F49,F60,F72,F85,F96)</f>
        <v>20</v>
      </c>
      <c r="P20" s="15"/>
      <c r="S20" s="107"/>
      <c r="T20" s="107"/>
    </row>
    <row r="21" spans="1:20" ht="23.25" x14ac:dyDescent="0.35">
      <c r="A21" s="58"/>
      <c r="B21" s="58"/>
      <c r="C21" s="58"/>
      <c r="D21" s="59"/>
      <c r="E21" s="59"/>
      <c r="F21" s="59"/>
      <c r="G21" s="45"/>
      <c r="H21" s="108" t="s">
        <v>45</v>
      </c>
      <c r="I21" s="46">
        <f>SUM(I12:I20)</f>
        <v>12</v>
      </c>
      <c r="J21" s="46">
        <f>SUM(J12:J20)</f>
        <v>12</v>
      </c>
      <c r="K21" s="45"/>
    </row>
    <row r="22" spans="1:20" ht="21" customHeight="1" x14ac:dyDescent="0.35">
      <c r="A22" s="58"/>
      <c r="B22" s="58"/>
      <c r="C22" s="58"/>
      <c r="D22" s="59"/>
      <c r="E22" s="59"/>
      <c r="F22" s="59"/>
      <c r="G22" s="45"/>
      <c r="H22" s="108"/>
      <c r="I22" s="109">
        <f>I21+J21</f>
        <v>24</v>
      </c>
      <c r="J22" s="109"/>
      <c r="K22" s="45"/>
      <c r="L22" s="45"/>
      <c r="M22" s="45"/>
      <c r="N22" s="45"/>
      <c r="O22" s="45"/>
    </row>
    <row r="23" spans="1:20" ht="23.25" x14ac:dyDescent="0.35">
      <c r="A23" s="58"/>
      <c r="B23" s="58"/>
      <c r="C23" s="58"/>
      <c r="D23" s="59"/>
      <c r="E23" s="59"/>
      <c r="F23" s="59"/>
      <c r="G23" s="45"/>
      <c r="H23" s="63"/>
      <c r="I23" s="64"/>
      <c r="J23" s="65"/>
      <c r="K23" s="45"/>
      <c r="L23" s="45"/>
      <c r="M23" s="45"/>
      <c r="N23" s="45"/>
      <c r="O23" s="66"/>
    </row>
    <row r="24" spans="1:20" ht="23.25" x14ac:dyDescent="0.35">
      <c r="A24" s="119" t="s">
        <v>25</v>
      </c>
      <c r="B24" s="120"/>
      <c r="C24" s="120"/>
      <c r="D24" s="120"/>
      <c r="E24" s="120"/>
      <c r="F24" s="120"/>
      <c r="G24" s="120"/>
      <c r="H24" s="120"/>
      <c r="I24" s="120"/>
      <c r="J24" s="121"/>
      <c r="K24" s="45"/>
      <c r="L24" s="148" t="s">
        <v>270</v>
      </c>
      <c r="M24" s="149"/>
      <c r="N24" s="149"/>
      <c r="O24" s="150"/>
    </row>
    <row r="25" spans="1:20" ht="23.25" x14ac:dyDescent="0.35">
      <c r="A25" s="135" t="s">
        <v>17</v>
      </c>
      <c r="B25" s="135"/>
      <c r="C25" s="135"/>
      <c r="D25" s="67" t="s">
        <v>20</v>
      </c>
      <c r="E25" s="67" t="s">
        <v>21</v>
      </c>
      <c r="F25" s="67" t="s">
        <v>8</v>
      </c>
      <c r="G25" s="45"/>
      <c r="H25" s="132" t="s">
        <v>39</v>
      </c>
      <c r="I25" s="132"/>
      <c r="J25" s="132"/>
      <c r="K25" s="45"/>
      <c r="L25" s="147" t="s">
        <v>271</v>
      </c>
      <c r="M25" s="147"/>
      <c r="N25" s="147"/>
      <c r="O25" s="147"/>
    </row>
    <row r="26" spans="1:20" ht="23.25" x14ac:dyDescent="0.35">
      <c r="A26" s="133" t="s">
        <v>18</v>
      </c>
      <c r="B26" s="133"/>
      <c r="C26" s="133"/>
      <c r="D26" s="49">
        <v>14</v>
      </c>
      <c r="E26" s="49">
        <f>+'Main Office'!E24</f>
        <v>7</v>
      </c>
      <c r="F26" s="49">
        <f>+'Main Office'!F24</f>
        <v>8</v>
      </c>
      <c r="G26" s="45"/>
      <c r="H26" s="47"/>
      <c r="I26" s="50" t="s">
        <v>4</v>
      </c>
      <c r="J26" s="50" t="s">
        <v>98</v>
      </c>
      <c r="K26" s="45"/>
      <c r="L26" s="53" t="s">
        <v>89</v>
      </c>
      <c r="M26" s="136" t="s">
        <v>46</v>
      </c>
      <c r="N26" s="137"/>
      <c r="O26" s="53" t="s">
        <v>47</v>
      </c>
    </row>
    <row r="27" spans="1:20" ht="23.25" x14ac:dyDescent="0.35">
      <c r="A27" s="134" t="s">
        <v>42</v>
      </c>
      <c r="B27" s="134"/>
      <c r="C27" s="134"/>
      <c r="D27" s="51">
        <v>0</v>
      </c>
      <c r="E27" s="51">
        <v>8</v>
      </c>
      <c r="F27" s="51">
        <f>+'Main Office'!F25</f>
        <v>4</v>
      </c>
      <c r="G27" s="45"/>
      <c r="H27" s="68" t="s">
        <v>7</v>
      </c>
      <c r="I27" s="49"/>
      <c r="J27" s="49"/>
      <c r="K27" s="45"/>
      <c r="L27" s="47" t="s">
        <v>44</v>
      </c>
      <c r="M27" s="143">
        <v>40687</v>
      </c>
      <c r="N27" s="144"/>
      <c r="O27" s="53">
        <v>60</v>
      </c>
    </row>
    <row r="28" spans="1:20" ht="23.25" x14ac:dyDescent="0.35">
      <c r="A28" s="48"/>
      <c r="B28" s="69"/>
      <c r="C28" s="69"/>
      <c r="D28" s="69"/>
      <c r="E28" s="56" t="s">
        <v>16</v>
      </c>
      <c r="F28" s="70">
        <v>1</v>
      </c>
      <c r="G28" s="45"/>
      <c r="H28" s="49" t="s">
        <v>99</v>
      </c>
      <c r="I28" s="49">
        <v>1</v>
      </c>
      <c r="J28" s="49">
        <v>0</v>
      </c>
      <c r="K28" s="45"/>
      <c r="L28" s="47" t="s">
        <v>7</v>
      </c>
      <c r="M28" s="143">
        <v>42816</v>
      </c>
      <c r="N28" s="144"/>
      <c r="O28" s="53">
        <v>24</v>
      </c>
    </row>
    <row r="29" spans="1:20" ht="23.25" x14ac:dyDescent="0.35">
      <c r="A29" s="45"/>
      <c r="B29" s="45"/>
      <c r="C29" s="45"/>
      <c r="D29" s="45"/>
      <c r="E29" s="45"/>
      <c r="F29" s="45"/>
      <c r="G29" s="45"/>
      <c r="H29" s="49" t="s">
        <v>100</v>
      </c>
      <c r="I29" s="49">
        <v>0</v>
      </c>
      <c r="J29" s="49">
        <v>10</v>
      </c>
      <c r="K29" s="45"/>
      <c r="L29" s="47" t="s">
        <v>7</v>
      </c>
      <c r="M29" s="143">
        <v>43475</v>
      </c>
      <c r="N29" s="144"/>
      <c r="O29" s="53">
        <v>4</v>
      </c>
      <c r="P29" s="15"/>
    </row>
    <row r="30" spans="1:20" ht="23.25" x14ac:dyDescent="0.35">
      <c r="A30" s="45"/>
      <c r="B30" s="45"/>
      <c r="C30" s="45"/>
      <c r="D30" s="45"/>
      <c r="E30" s="45"/>
      <c r="F30" s="45"/>
      <c r="G30" s="45"/>
      <c r="H30" s="68" t="s">
        <v>44</v>
      </c>
      <c r="I30" s="49"/>
      <c r="J30" s="49"/>
      <c r="K30" s="45"/>
      <c r="L30" s="151" t="s">
        <v>45</v>
      </c>
      <c r="M30" s="152"/>
      <c r="N30" s="153"/>
      <c r="O30" s="50">
        <v>88</v>
      </c>
      <c r="P30" s="15"/>
    </row>
    <row r="31" spans="1:20" ht="23.25" x14ac:dyDescent="0.35">
      <c r="A31" s="45"/>
      <c r="B31" s="45"/>
      <c r="C31" s="45"/>
      <c r="D31" s="45"/>
      <c r="E31" s="45"/>
      <c r="F31" s="45"/>
      <c r="G31" s="45"/>
      <c r="H31" s="49" t="s">
        <v>101</v>
      </c>
      <c r="I31" s="49">
        <v>0</v>
      </c>
      <c r="J31" s="49">
        <v>3</v>
      </c>
      <c r="K31" s="45"/>
      <c r="L31" s="71" t="s">
        <v>272</v>
      </c>
      <c r="M31" s="72"/>
      <c r="N31" s="72"/>
      <c r="O31" s="73"/>
      <c r="P31" s="15"/>
    </row>
    <row r="32" spans="1:20" ht="23.25" x14ac:dyDescent="0.35">
      <c r="A32" s="45"/>
      <c r="B32" s="45"/>
      <c r="C32" s="45"/>
      <c r="D32" s="45"/>
      <c r="E32" s="45"/>
      <c r="F32" s="45"/>
      <c r="G32" s="45"/>
      <c r="H32" s="108" t="s">
        <v>45</v>
      </c>
      <c r="I32" s="46">
        <f>SUM(I27:I31)</f>
        <v>1</v>
      </c>
      <c r="J32" s="46">
        <f>SUM(J27:J31)</f>
        <v>13</v>
      </c>
      <c r="K32" s="45"/>
      <c r="L32" s="47" t="s">
        <v>51</v>
      </c>
      <c r="M32" s="145">
        <v>40687</v>
      </c>
      <c r="N32" s="146"/>
      <c r="O32" s="53">
        <v>40</v>
      </c>
      <c r="P32" s="15"/>
    </row>
    <row r="33" spans="1:15" ht="23.25" x14ac:dyDescent="0.35">
      <c r="A33" s="45"/>
      <c r="B33" s="45"/>
      <c r="C33" s="45"/>
      <c r="D33" s="45"/>
      <c r="E33" s="45"/>
      <c r="F33" s="45"/>
      <c r="G33" s="45"/>
      <c r="H33" s="108"/>
      <c r="I33" s="109">
        <f>I32+J32</f>
        <v>14</v>
      </c>
      <c r="J33" s="109"/>
      <c r="K33" s="45"/>
      <c r="L33" s="47" t="s">
        <v>49</v>
      </c>
      <c r="M33" s="143">
        <v>40687</v>
      </c>
      <c r="N33" s="144"/>
      <c r="O33" s="53">
        <v>4</v>
      </c>
    </row>
    <row r="34" spans="1:15" ht="23.25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59"/>
      <c r="K34" s="45"/>
      <c r="L34" s="47" t="s">
        <v>48</v>
      </c>
      <c r="M34" s="143">
        <v>42816</v>
      </c>
      <c r="N34" s="144"/>
      <c r="O34" s="53">
        <v>8</v>
      </c>
    </row>
    <row r="35" spans="1:15" ht="23.25" x14ac:dyDescent="0.35">
      <c r="A35" s="119" t="s">
        <v>30</v>
      </c>
      <c r="B35" s="120"/>
      <c r="C35" s="120"/>
      <c r="D35" s="120"/>
      <c r="E35" s="120"/>
      <c r="F35" s="120"/>
      <c r="G35" s="120"/>
      <c r="H35" s="120"/>
      <c r="I35" s="120"/>
      <c r="J35" s="121"/>
      <c r="K35" s="45"/>
      <c r="L35" s="151" t="s">
        <v>45</v>
      </c>
      <c r="M35" s="152"/>
      <c r="N35" s="153"/>
      <c r="O35" s="74">
        <v>52</v>
      </c>
    </row>
    <row r="36" spans="1:15" ht="23.25" x14ac:dyDescent="0.35">
      <c r="A36" s="135" t="s">
        <v>17</v>
      </c>
      <c r="B36" s="135"/>
      <c r="C36" s="135"/>
      <c r="D36" s="67" t="s">
        <v>20</v>
      </c>
      <c r="E36" s="67" t="s">
        <v>21</v>
      </c>
      <c r="F36" s="67" t="s">
        <v>8</v>
      </c>
      <c r="G36" s="45"/>
      <c r="H36" s="132" t="s">
        <v>39</v>
      </c>
      <c r="I36" s="132"/>
      <c r="J36" s="132"/>
      <c r="K36" s="45"/>
      <c r="L36" s="71" t="s">
        <v>273</v>
      </c>
      <c r="M36" s="72"/>
      <c r="N36" s="72"/>
      <c r="O36" s="73"/>
    </row>
    <row r="37" spans="1:15" ht="23.25" x14ac:dyDescent="0.35">
      <c r="A37" s="133" t="s">
        <v>18</v>
      </c>
      <c r="B37" s="133"/>
      <c r="C37" s="133"/>
      <c r="D37" s="49">
        <f>+'Salay Branch'!D23</f>
        <v>11</v>
      </c>
      <c r="E37" s="49">
        <f>+'Salay Branch'!E23</f>
        <v>5</v>
      </c>
      <c r="F37" s="49">
        <f>+'Salay Branch'!F23</f>
        <v>8</v>
      </c>
      <c r="G37" s="45"/>
      <c r="H37" s="47"/>
      <c r="I37" s="50" t="s">
        <v>4</v>
      </c>
      <c r="J37" s="50" t="s">
        <v>98</v>
      </c>
      <c r="K37" s="45"/>
      <c r="L37" s="47" t="s">
        <v>50</v>
      </c>
      <c r="M37" s="145">
        <v>40687</v>
      </c>
      <c r="N37" s="146"/>
      <c r="O37" s="53">
        <v>25</v>
      </c>
    </row>
    <row r="38" spans="1:15" ht="23.25" x14ac:dyDescent="0.35">
      <c r="A38" s="134" t="s">
        <v>42</v>
      </c>
      <c r="B38" s="134"/>
      <c r="C38" s="134"/>
      <c r="D38" s="51">
        <f>+'Salay Branch'!D24</f>
        <v>0</v>
      </c>
      <c r="E38" s="51">
        <f>+'Salay Branch'!E24</f>
        <v>6</v>
      </c>
      <c r="F38" s="51">
        <f>+'Salay Branch'!F24</f>
        <v>3</v>
      </c>
      <c r="G38" s="45"/>
      <c r="H38" s="68" t="s">
        <v>7</v>
      </c>
      <c r="I38" s="49"/>
      <c r="J38" s="49"/>
      <c r="K38" s="45"/>
      <c r="L38" s="47" t="s">
        <v>93</v>
      </c>
      <c r="M38" s="145">
        <v>43670</v>
      </c>
      <c r="N38" s="146"/>
      <c r="O38" s="53">
        <v>5</v>
      </c>
    </row>
    <row r="39" spans="1:15" ht="23.25" x14ac:dyDescent="0.35">
      <c r="A39" s="54"/>
      <c r="B39" s="55"/>
      <c r="C39" s="55"/>
      <c r="D39" s="56"/>
      <c r="E39" s="56" t="s">
        <v>16</v>
      </c>
      <c r="F39" s="57">
        <v>2</v>
      </c>
      <c r="G39" s="45"/>
      <c r="H39" s="49" t="s">
        <v>99</v>
      </c>
      <c r="I39" s="49">
        <v>1</v>
      </c>
      <c r="J39" s="49">
        <v>0</v>
      </c>
      <c r="K39" s="45"/>
      <c r="L39" s="151" t="s">
        <v>45</v>
      </c>
      <c r="M39" s="152"/>
      <c r="N39" s="153"/>
      <c r="O39" s="50">
        <v>30</v>
      </c>
    </row>
    <row r="40" spans="1:15" ht="23.25" x14ac:dyDescent="0.35">
      <c r="A40" s="58"/>
      <c r="B40" s="58"/>
      <c r="C40" s="58"/>
      <c r="D40" s="59"/>
      <c r="E40" s="59"/>
      <c r="F40" s="59"/>
      <c r="G40" s="45"/>
      <c r="H40" s="49" t="s">
        <v>100</v>
      </c>
      <c r="I40" s="49">
        <v>0</v>
      </c>
      <c r="J40" s="49">
        <v>3</v>
      </c>
      <c r="K40" s="45"/>
      <c r="L40" s="45"/>
      <c r="M40" s="45"/>
      <c r="N40" s="45"/>
      <c r="O40" s="45"/>
    </row>
    <row r="41" spans="1:15" ht="23.25" x14ac:dyDescent="0.35">
      <c r="A41" s="58"/>
      <c r="B41" s="58"/>
      <c r="C41" s="58"/>
      <c r="D41" s="59"/>
      <c r="E41" s="59"/>
      <c r="F41" s="59"/>
      <c r="G41" s="45"/>
      <c r="H41" s="68" t="s">
        <v>44</v>
      </c>
      <c r="I41" s="49"/>
      <c r="J41" s="49"/>
      <c r="K41" s="45"/>
      <c r="L41" s="45"/>
      <c r="M41" s="45"/>
      <c r="N41" s="45"/>
      <c r="O41" s="45"/>
    </row>
    <row r="42" spans="1:15" ht="23.25" x14ac:dyDescent="0.35">
      <c r="A42" s="58"/>
      <c r="B42" s="58"/>
      <c r="C42" s="58"/>
      <c r="D42" s="59"/>
      <c r="E42" s="59"/>
      <c r="F42" s="59"/>
      <c r="G42" s="45"/>
      <c r="H42" s="49" t="s">
        <v>101</v>
      </c>
      <c r="I42" s="49">
        <v>0</v>
      </c>
      <c r="J42" s="49">
        <v>7</v>
      </c>
      <c r="K42" s="45"/>
      <c r="L42" s="45"/>
      <c r="M42" s="59"/>
      <c r="N42" s="66"/>
      <c r="O42" s="45"/>
    </row>
    <row r="43" spans="1:15" ht="23.25" x14ac:dyDescent="0.35">
      <c r="A43" s="58"/>
      <c r="B43" s="58"/>
      <c r="C43" s="58"/>
      <c r="D43" s="59"/>
      <c r="E43" s="59"/>
      <c r="F43" s="59"/>
      <c r="G43" s="45"/>
      <c r="H43" s="108" t="s">
        <v>45</v>
      </c>
      <c r="I43" s="46">
        <f>SUM(I38:I42)</f>
        <v>1</v>
      </c>
      <c r="J43" s="46">
        <f>SUM(J38:J42)</f>
        <v>10</v>
      </c>
      <c r="K43" s="45"/>
      <c r="L43" s="45"/>
      <c r="M43" s="45"/>
      <c r="N43" s="45"/>
      <c r="O43" s="45"/>
    </row>
    <row r="44" spans="1:15" ht="23.25" x14ac:dyDescent="0.35">
      <c r="A44" s="58"/>
      <c r="B44" s="58"/>
      <c r="C44" s="58"/>
      <c r="D44" s="59"/>
      <c r="E44" s="59"/>
      <c r="F44" s="59"/>
      <c r="G44" s="45"/>
      <c r="H44" s="108"/>
      <c r="I44" s="109">
        <f>I43+J43</f>
        <v>11</v>
      </c>
      <c r="J44" s="109"/>
      <c r="K44" s="45"/>
      <c r="L44" s="45"/>
      <c r="M44" s="45"/>
      <c r="N44" s="45"/>
      <c r="O44" s="45"/>
    </row>
    <row r="45" spans="1:15" ht="23.25" x14ac:dyDescent="0.3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</row>
    <row r="46" spans="1:15" ht="23.25" x14ac:dyDescent="0.35">
      <c r="A46" s="119" t="s">
        <v>32</v>
      </c>
      <c r="B46" s="120"/>
      <c r="C46" s="120"/>
      <c r="D46" s="120"/>
      <c r="E46" s="120"/>
      <c r="F46" s="120"/>
      <c r="G46" s="120"/>
      <c r="H46" s="120"/>
      <c r="I46" s="120"/>
      <c r="J46" s="121"/>
      <c r="K46" s="45"/>
      <c r="L46" s="119" t="s">
        <v>274</v>
      </c>
      <c r="M46" s="120"/>
      <c r="N46" s="120"/>
      <c r="O46" s="121"/>
    </row>
    <row r="47" spans="1:15" ht="23.25" x14ac:dyDescent="0.35">
      <c r="A47" s="135" t="s">
        <v>17</v>
      </c>
      <c r="B47" s="135"/>
      <c r="C47" s="135"/>
      <c r="D47" s="67" t="s">
        <v>20</v>
      </c>
      <c r="E47" s="67" t="s">
        <v>21</v>
      </c>
      <c r="F47" s="67" t="s">
        <v>8</v>
      </c>
      <c r="G47" s="45"/>
      <c r="H47" s="132" t="s">
        <v>39</v>
      </c>
      <c r="I47" s="132"/>
      <c r="J47" s="132"/>
      <c r="K47" s="45"/>
      <c r="L47" s="67" t="s">
        <v>117</v>
      </c>
      <c r="M47" s="129" t="s">
        <v>118</v>
      </c>
      <c r="N47" s="131"/>
      <c r="O47" s="67" t="s">
        <v>119</v>
      </c>
    </row>
    <row r="48" spans="1:15" ht="23.25" x14ac:dyDescent="0.35">
      <c r="A48" s="133" t="s">
        <v>18</v>
      </c>
      <c r="B48" s="133"/>
      <c r="C48" s="133"/>
      <c r="D48" s="49">
        <v>17</v>
      </c>
      <c r="E48" s="49">
        <f>+'Jasaan Branch'!E29</f>
        <v>7</v>
      </c>
      <c r="F48" s="49">
        <f>+'Jasaan Branch'!F29</f>
        <v>11</v>
      </c>
      <c r="G48" s="45"/>
      <c r="H48" s="47"/>
      <c r="I48" s="50" t="s">
        <v>4</v>
      </c>
      <c r="J48" s="50" t="s">
        <v>98</v>
      </c>
      <c r="K48" s="45"/>
      <c r="L48" s="47" t="s">
        <v>88</v>
      </c>
      <c r="M48" s="123" t="s">
        <v>83</v>
      </c>
      <c r="N48" s="125"/>
      <c r="O48" s="75">
        <v>40296</v>
      </c>
    </row>
    <row r="49" spans="1:15" ht="23.25" x14ac:dyDescent="0.35">
      <c r="A49" s="134" t="s">
        <v>42</v>
      </c>
      <c r="B49" s="134"/>
      <c r="C49" s="134"/>
      <c r="D49" s="51">
        <v>0</v>
      </c>
      <c r="E49" s="51">
        <f>+'Jasaan Branch'!E30</f>
        <v>10</v>
      </c>
      <c r="F49" s="51">
        <f>+'Jasaan Branch'!F30</f>
        <v>4</v>
      </c>
      <c r="G49" s="45"/>
      <c r="H49" s="68" t="s">
        <v>7</v>
      </c>
      <c r="I49" s="49"/>
      <c r="J49" s="49"/>
      <c r="K49" s="45"/>
      <c r="L49" s="47" t="s">
        <v>84</v>
      </c>
      <c r="M49" s="123" t="s">
        <v>83</v>
      </c>
      <c r="N49" s="125"/>
      <c r="O49" s="75">
        <v>41408</v>
      </c>
    </row>
    <row r="50" spans="1:15" ht="23.25" x14ac:dyDescent="0.35">
      <c r="A50" s="54"/>
      <c r="B50" s="55"/>
      <c r="C50" s="55"/>
      <c r="D50" s="56"/>
      <c r="E50" s="56"/>
      <c r="F50" s="57">
        <f>+'Jasaan Branch'!F31</f>
        <v>2</v>
      </c>
      <c r="G50" s="45"/>
      <c r="H50" s="49" t="s">
        <v>99</v>
      </c>
      <c r="I50" s="49">
        <v>1</v>
      </c>
      <c r="J50" s="49">
        <v>0</v>
      </c>
      <c r="K50" s="66"/>
      <c r="L50" s="47" t="s">
        <v>2</v>
      </c>
      <c r="M50" s="158" t="s">
        <v>95</v>
      </c>
      <c r="N50" s="158"/>
      <c r="O50" s="75">
        <v>42713</v>
      </c>
    </row>
    <row r="51" spans="1:15" ht="23.25" x14ac:dyDescent="0.35">
      <c r="A51" s="58"/>
      <c r="B51" s="58"/>
      <c r="C51" s="58"/>
      <c r="D51" s="59"/>
      <c r="E51" s="59"/>
      <c r="F51" s="59"/>
      <c r="G51" s="45"/>
      <c r="H51" s="49" t="s">
        <v>100</v>
      </c>
      <c r="I51" s="49">
        <v>0</v>
      </c>
      <c r="J51" s="49">
        <v>3</v>
      </c>
      <c r="K51" s="45"/>
      <c r="L51" s="47" t="s">
        <v>1</v>
      </c>
      <c r="M51" s="158" t="s">
        <v>95</v>
      </c>
      <c r="N51" s="158"/>
      <c r="O51" s="75">
        <v>42741</v>
      </c>
    </row>
    <row r="52" spans="1:15" ht="23.25" x14ac:dyDescent="0.35">
      <c r="A52" s="58"/>
      <c r="B52" s="58"/>
      <c r="C52" s="58"/>
      <c r="D52" s="59"/>
      <c r="E52" s="59"/>
      <c r="F52" s="59"/>
      <c r="G52" s="45"/>
      <c r="H52" s="68" t="s">
        <v>44</v>
      </c>
      <c r="I52" s="49"/>
      <c r="J52" s="49"/>
      <c r="K52" s="45"/>
      <c r="L52" s="47" t="s">
        <v>86</v>
      </c>
      <c r="M52" s="158" t="s">
        <v>95</v>
      </c>
      <c r="N52" s="158"/>
      <c r="O52" s="75">
        <v>43283</v>
      </c>
    </row>
    <row r="53" spans="1:15" ht="23.25" x14ac:dyDescent="0.35">
      <c r="A53" s="58"/>
      <c r="B53" s="58"/>
      <c r="C53" s="58"/>
      <c r="D53" s="59"/>
      <c r="E53" s="59"/>
      <c r="F53" s="59"/>
      <c r="G53" s="45"/>
      <c r="H53" s="49" t="s">
        <v>101</v>
      </c>
      <c r="I53" s="49">
        <v>0</v>
      </c>
      <c r="J53" s="49">
        <v>13</v>
      </c>
      <c r="K53" s="45"/>
      <c r="L53" s="47" t="s">
        <v>87</v>
      </c>
      <c r="M53" s="158" t="s">
        <v>95</v>
      </c>
      <c r="N53" s="158"/>
      <c r="O53" s="75">
        <v>43283</v>
      </c>
    </row>
    <row r="54" spans="1:15" ht="23.25" x14ac:dyDescent="0.35">
      <c r="A54" s="58"/>
      <c r="B54" s="58"/>
      <c r="C54" s="58"/>
      <c r="D54" s="59"/>
      <c r="E54" s="59"/>
      <c r="F54" s="59"/>
      <c r="G54" s="45"/>
      <c r="H54" s="108" t="s">
        <v>45</v>
      </c>
      <c r="I54" s="46">
        <f>SUM(I49:I53)</f>
        <v>1</v>
      </c>
      <c r="J54" s="46">
        <f>SUM(J49:J53)</f>
        <v>16</v>
      </c>
      <c r="K54" s="45"/>
      <c r="L54" s="47" t="s">
        <v>85</v>
      </c>
      <c r="M54" s="158" t="s">
        <v>95</v>
      </c>
      <c r="N54" s="158"/>
      <c r="O54" s="75">
        <v>43609</v>
      </c>
    </row>
    <row r="55" spans="1:15" ht="23.25" x14ac:dyDescent="0.35">
      <c r="A55" s="58"/>
      <c r="B55" s="58"/>
      <c r="C55" s="58"/>
      <c r="D55" s="59"/>
      <c r="E55" s="59"/>
      <c r="F55" s="59"/>
      <c r="G55" s="45"/>
      <c r="H55" s="108"/>
      <c r="I55" s="109">
        <f>I54+J54</f>
        <v>17</v>
      </c>
      <c r="J55" s="109"/>
      <c r="K55" s="45"/>
      <c r="L55" s="47" t="s">
        <v>94</v>
      </c>
      <c r="M55" s="158" t="s">
        <v>95</v>
      </c>
      <c r="N55" s="158"/>
      <c r="O55" s="75">
        <v>44151</v>
      </c>
    </row>
    <row r="56" spans="1:15" ht="23.25" x14ac:dyDescent="0.3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7" t="s">
        <v>97</v>
      </c>
      <c r="M56" s="158" t="s">
        <v>95</v>
      </c>
      <c r="N56" s="158"/>
      <c r="O56" s="75">
        <v>44151</v>
      </c>
    </row>
    <row r="57" spans="1:15" ht="23.25" x14ac:dyDescent="0.35">
      <c r="A57" s="119" t="s">
        <v>35</v>
      </c>
      <c r="B57" s="120"/>
      <c r="C57" s="120"/>
      <c r="D57" s="120"/>
      <c r="E57" s="120"/>
      <c r="F57" s="120"/>
      <c r="G57" s="120"/>
      <c r="H57" s="120"/>
      <c r="I57" s="120"/>
      <c r="J57" s="121"/>
      <c r="K57" s="45"/>
      <c r="L57" s="47" t="s">
        <v>0</v>
      </c>
      <c r="M57" s="158" t="s">
        <v>95</v>
      </c>
      <c r="N57" s="158"/>
      <c r="O57" s="75">
        <v>44151</v>
      </c>
    </row>
    <row r="58" spans="1:15" ht="23.25" x14ac:dyDescent="0.35">
      <c r="A58" s="135" t="s">
        <v>17</v>
      </c>
      <c r="B58" s="135"/>
      <c r="C58" s="135"/>
      <c r="D58" s="67" t="s">
        <v>20</v>
      </c>
      <c r="E58" s="67" t="s">
        <v>21</v>
      </c>
      <c r="F58" s="67" t="s">
        <v>8</v>
      </c>
      <c r="G58" s="45"/>
      <c r="H58" s="132" t="s">
        <v>39</v>
      </c>
      <c r="I58" s="132"/>
      <c r="J58" s="132"/>
      <c r="K58" s="45"/>
      <c r="L58" s="47" t="s">
        <v>90</v>
      </c>
      <c r="M58" s="158" t="s">
        <v>95</v>
      </c>
      <c r="N58" s="158"/>
      <c r="O58" s="75">
        <v>44151</v>
      </c>
    </row>
    <row r="59" spans="1:15" ht="23.25" x14ac:dyDescent="0.35">
      <c r="A59" s="133" t="s">
        <v>18</v>
      </c>
      <c r="B59" s="133"/>
      <c r="C59" s="133"/>
      <c r="D59" s="49">
        <f>+'CDO Branch'!D29</f>
        <v>17</v>
      </c>
      <c r="E59" s="49">
        <f>+'CDO Branch'!E29</f>
        <v>11</v>
      </c>
      <c r="F59" s="49">
        <f>+'CDO Branch'!F29</f>
        <v>9</v>
      </c>
      <c r="G59" s="45"/>
      <c r="H59" s="47"/>
      <c r="I59" s="50" t="s">
        <v>4</v>
      </c>
      <c r="J59" s="50" t="s">
        <v>98</v>
      </c>
      <c r="K59" s="45"/>
      <c r="L59" s="76" t="s">
        <v>124</v>
      </c>
      <c r="M59" s="158" t="s">
        <v>125</v>
      </c>
      <c r="N59" s="158"/>
      <c r="O59" s="77">
        <v>42786</v>
      </c>
    </row>
    <row r="60" spans="1:15" ht="23.25" x14ac:dyDescent="0.35">
      <c r="A60" s="134" t="s">
        <v>42</v>
      </c>
      <c r="B60" s="134"/>
      <c r="C60" s="134"/>
      <c r="D60" s="51">
        <f>+'CDO Branch'!D30</f>
        <v>0</v>
      </c>
      <c r="E60" s="51">
        <f>+'CDO Branch'!E30</f>
        <v>6</v>
      </c>
      <c r="F60" s="51">
        <f>+'CDO Branch'!F30</f>
        <v>5</v>
      </c>
      <c r="G60" s="45"/>
      <c r="H60" s="68" t="s">
        <v>7</v>
      </c>
      <c r="I60" s="49"/>
      <c r="J60" s="49"/>
      <c r="K60" s="45"/>
      <c r="L60" s="47" t="s">
        <v>121</v>
      </c>
      <c r="M60" s="158" t="s">
        <v>83</v>
      </c>
      <c r="N60" s="158"/>
      <c r="O60" s="75">
        <v>39948</v>
      </c>
    </row>
    <row r="61" spans="1:15" ht="23.25" x14ac:dyDescent="0.35">
      <c r="A61" s="54"/>
      <c r="B61" s="55"/>
      <c r="C61" s="55"/>
      <c r="D61" s="56"/>
      <c r="E61" s="56" t="s">
        <v>16</v>
      </c>
      <c r="F61" s="57">
        <f>+'CDO Branch'!F31</f>
        <v>2</v>
      </c>
      <c r="G61" s="45"/>
      <c r="H61" s="49" t="s">
        <v>99</v>
      </c>
      <c r="I61" s="49">
        <v>1</v>
      </c>
      <c r="J61" s="49">
        <v>0</v>
      </c>
      <c r="K61" s="45"/>
      <c r="L61" s="120" t="s">
        <v>275</v>
      </c>
      <c r="M61" s="120"/>
      <c r="N61" s="120"/>
      <c r="O61" s="121"/>
    </row>
    <row r="62" spans="1:15" ht="23.25" x14ac:dyDescent="0.35">
      <c r="A62" s="58"/>
      <c r="B62" s="58"/>
      <c r="C62" s="58"/>
      <c r="D62" s="59"/>
      <c r="E62" s="59"/>
      <c r="F62" s="59"/>
      <c r="G62" s="45"/>
      <c r="H62" s="49" t="s">
        <v>100</v>
      </c>
      <c r="I62" s="49">
        <v>0</v>
      </c>
      <c r="J62" s="49">
        <v>4</v>
      </c>
      <c r="K62" s="45"/>
      <c r="L62" s="78" t="s">
        <v>122</v>
      </c>
      <c r="M62" s="136" t="s">
        <v>123</v>
      </c>
      <c r="N62" s="137"/>
      <c r="O62" s="79">
        <v>42075</v>
      </c>
    </row>
    <row r="63" spans="1:15" ht="23.25" x14ac:dyDescent="0.35">
      <c r="A63" s="58"/>
      <c r="B63" s="58"/>
      <c r="C63" s="58"/>
      <c r="D63" s="59"/>
      <c r="E63" s="59"/>
      <c r="F63" s="59"/>
      <c r="G63" s="45"/>
      <c r="H63" s="68" t="s">
        <v>44</v>
      </c>
      <c r="I63" s="49"/>
      <c r="J63" s="49"/>
      <c r="K63" s="45"/>
      <c r="L63" s="78" t="s">
        <v>120</v>
      </c>
      <c r="M63" s="136" t="s">
        <v>123</v>
      </c>
      <c r="N63" s="137"/>
      <c r="O63" s="79">
        <v>42177</v>
      </c>
    </row>
    <row r="64" spans="1:15" ht="23.25" x14ac:dyDescent="0.35">
      <c r="A64" s="58"/>
      <c r="B64" s="58"/>
      <c r="C64" s="58"/>
      <c r="D64" s="59"/>
      <c r="E64" s="59"/>
      <c r="F64" s="59"/>
      <c r="G64" s="45"/>
      <c r="H64" s="49" t="s">
        <v>101</v>
      </c>
      <c r="I64" s="49">
        <v>0</v>
      </c>
      <c r="J64" s="49">
        <v>10</v>
      </c>
      <c r="K64" s="45"/>
      <c r="L64" s="47" t="s">
        <v>120</v>
      </c>
      <c r="M64" s="136" t="s">
        <v>123</v>
      </c>
      <c r="N64" s="137"/>
      <c r="O64" s="80">
        <v>42823</v>
      </c>
    </row>
    <row r="65" spans="1:15" ht="23.25" x14ac:dyDescent="0.35">
      <c r="A65" s="58"/>
      <c r="B65" s="58"/>
      <c r="C65" s="58"/>
      <c r="D65" s="59"/>
      <c r="E65" s="59"/>
      <c r="F65" s="59"/>
      <c r="G65" s="45"/>
      <c r="H65" s="108" t="s">
        <v>45</v>
      </c>
      <c r="I65" s="46">
        <f>SUM(I60:I64)</f>
        <v>1</v>
      </c>
      <c r="J65" s="46">
        <f>SUM(J60:J64)</f>
        <v>14</v>
      </c>
      <c r="K65" s="45"/>
      <c r="L65" s="45"/>
      <c r="M65" s="45"/>
      <c r="N65" s="45"/>
      <c r="O65" s="45"/>
    </row>
    <row r="66" spans="1:15" ht="23.25" x14ac:dyDescent="0.35">
      <c r="A66" s="58"/>
      <c r="B66" s="58"/>
      <c r="C66" s="58"/>
      <c r="D66" s="59"/>
      <c r="E66" s="59"/>
      <c r="F66" s="59"/>
      <c r="G66" s="45"/>
      <c r="H66" s="108"/>
      <c r="I66" s="109">
        <f>I65+J65</f>
        <v>15</v>
      </c>
      <c r="J66" s="109"/>
      <c r="K66" s="45"/>
      <c r="L66" s="45"/>
      <c r="M66" s="45"/>
      <c r="N66" s="45"/>
      <c r="O66" s="45"/>
    </row>
    <row r="67" spans="1:15" ht="23.25" x14ac:dyDescent="0.35">
      <c r="A67" s="58"/>
      <c r="B67" s="58"/>
      <c r="C67" s="58"/>
      <c r="D67" s="59"/>
      <c r="E67" s="59"/>
      <c r="F67" s="59"/>
      <c r="G67" s="45"/>
      <c r="H67" s="65"/>
      <c r="I67" s="65"/>
      <c r="J67" s="59"/>
      <c r="K67" s="45"/>
      <c r="L67" s="45"/>
      <c r="M67" s="45"/>
      <c r="N67" s="45"/>
      <c r="O67" s="45"/>
    </row>
    <row r="68" spans="1:15" ht="23.25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</row>
    <row r="69" spans="1:15" ht="23.25" x14ac:dyDescent="0.35">
      <c r="A69" s="119" t="s">
        <v>36</v>
      </c>
      <c r="B69" s="120"/>
      <c r="C69" s="120"/>
      <c r="D69" s="120"/>
      <c r="E69" s="120"/>
      <c r="F69" s="120"/>
      <c r="G69" s="120"/>
      <c r="H69" s="120"/>
      <c r="I69" s="120"/>
      <c r="J69" s="121"/>
      <c r="K69" s="45"/>
      <c r="L69" s="140" t="s">
        <v>277</v>
      </c>
      <c r="M69" s="141"/>
      <c r="N69" s="141"/>
      <c r="O69" s="142"/>
    </row>
    <row r="70" spans="1:15" ht="23.25" x14ac:dyDescent="0.35">
      <c r="A70" s="129" t="s">
        <v>17</v>
      </c>
      <c r="B70" s="130"/>
      <c r="C70" s="131"/>
      <c r="D70" s="67" t="s">
        <v>20</v>
      </c>
      <c r="E70" s="67" t="s">
        <v>21</v>
      </c>
      <c r="F70" s="67" t="s">
        <v>8</v>
      </c>
      <c r="G70" s="45"/>
      <c r="H70" s="132" t="s">
        <v>39</v>
      </c>
      <c r="I70" s="132"/>
      <c r="J70" s="132"/>
      <c r="K70" s="45"/>
      <c r="L70" s="47" t="s">
        <v>98</v>
      </c>
      <c r="M70" s="126">
        <f>SUM(J21,J32,J43,J54,J65,J78,J90,J101,J113)</f>
        <v>88</v>
      </c>
      <c r="N70" s="127"/>
      <c r="O70" s="128"/>
    </row>
    <row r="71" spans="1:15" ht="23.25" x14ac:dyDescent="0.35">
      <c r="A71" s="48" t="s">
        <v>18</v>
      </c>
      <c r="B71" s="69"/>
      <c r="C71" s="69"/>
      <c r="D71" s="49">
        <v>9</v>
      </c>
      <c r="E71" s="49">
        <f>+'Maramag Branch'!E21</f>
        <v>4</v>
      </c>
      <c r="F71" s="49">
        <f>+'Maramag Branch'!F21</f>
        <v>5</v>
      </c>
      <c r="G71" s="45"/>
      <c r="H71" s="47"/>
      <c r="I71" s="50" t="s">
        <v>4</v>
      </c>
      <c r="J71" s="50" t="s">
        <v>98</v>
      </c>
      <c r="K71" s="45"/>
      <c r="L71" s="47" t="s">
        <v>276</v>
      </c>
      <c r="M71" s="126">
        <f>SUM(I21,I32,I43,I54,I65,I78,I90,I101,I113)</f>
        <v>18</v>
      </c>
      <c r="N71" s="127"/>
      <c r="O71" s="128"/>
    </row>
    <row r="72" spans="1:15" ht="23.25" x14ac:dyDescent="0.35">
      <c r="A72" s="81" t="s">
        <v>42</v>
      </c>
      <c r="B72" s="82"/>
      <c r="C72" s="82"/>
      <c r="D72" s="51">
        <f>+'Maramag Branch'!D22</f>
        <v>0</v>
      </c>
      <c r="E72" s="51">
        <f>+'Maramag Branch'!E22</f>
        <v>5</v>
      </c>
      <c r="F72" s="51">
        <f>+'Maramag Branch'!F22</f>
        <v>4</v>
      </c>
      <c r="G72" s="45"/>
      <c r="H72" s="52" t="s">
        <v>7</v>
      </c>
      <c r="I72" s="49"/>
      <c r="J72" s="49"/>
      <c r="K72" s="45"/>
      <c r="L72" s="47"/>
      <c r="M72" s="126">
        <f>SUM(M70,M71)</f>
        <v>106</v>
      </c>
      <c r="N72" s="127"/>
      <c r="O72" s="128"/>
    </row>
    <row r="73" spans="1:15" ht="23.25" x14ac:dyDescent="0.35">
      <c r="A73" s="48"/>
      <c r="B73" s="69"/>
      <c r="C73" s="69"/>
      <c r="D73" s="69"/>
      <c r="E73" s="56" t="s">
        <v>16</v>
      </c>
      <c r="F73" s="57">
        <f>+'Maramag Branch'!F23</f>
        <v>0</v>
      </c>
      <c r="G73" s="45"/>
      <c r="H73" s="49" t="s">
        <v>99</v>
      </c>
      <c r="I73" s="49">
        <v>1</v>
      </c>
      <c r="J73" s="49">
        <v>0</v>
      </c>
      <c r="K73" s="45"/>
      <c r="L73" s="45"/>
      <c r="M73" s="45"/>
      <c r="N73" s="45"/>
      <c r="O73" s="45"/>
    </row>
    <row r="74" spans="1:15" ht="23.25" x14ac:dyDescent="0.35">
      <c r="A74" s="45"/>
      <c r="B74" s="45"/>
      <c r="C74" s="45"/>
      <c r="D74" s="45"/>
      <c r="E74" s="45"/>
      <c r="F74" s="45"/>
      <c r="G74" s="45"/>
      <c r="H74" s="49" t="s">
        <v>100</v>
      </c>
      <c r="I74" s="49">
        <v>0</v>
      </c>
      <c r="J74" s="49">
        <v>3</v>
      </c>
      <c r="K74" s="45"/>
      <c r="L74" s="45"/>
      <c r="M74" s="45"/>
      <c r="N74" s="45"/>
      <c r="O74" s="45"/>
    </row>
    <row r="75" spans="1:15" ht="23.25" x14ac:dyDescent="0.35">
      <c r="A75" s="45"/>
      <c r="B75" s="45"/>
      <c r="C75" s="45"/>
      <c r="D75" s="45"/>
      <c r="E75" s="45"/>
      <c r="F75" s="45"/>
      <c r="G75" s="45"/>
      <c r="H75" s="52" t="s">
        <v>44</v>
      </c>
      <c r="I75" s="49"/>
      <c r="J75" s="49"/>
      <c r="K75" s="45"/>
      <c r="L75" s="45"/>
      <c r="M75" s="45"/>
      <c r="N75" s="45"/>
      <c r="O75" s="45"/>
    </row>
    <row r="76" spans="1:15" ht="23.25" x14ac:dyDescent="0.35">
      <c r="A76" s="45"/>
      <c r="B76" s="45"/>
      <c r="C76" s="45"/>
      <c r="D76" s="45"/>
      <c r="E76" s="45"/>
      <c r="F76" s="45"/>
      <c r="G76" s="45"/>
      <c r="H76" s="53" t="s">
        <v>105</v>
      </c>
      <c r="I76" s="49">
        <v>0</v>
      </c>
      <c r="J76" s="49">
        <v>0</v>
      </c>
      <c r="K76" s="45"/>
      <c r="L76" s="45"/>
      <c r="M76" s="45"/>
      <c r="N76" s="45"/>
      <c r="O76" s="45"/>
    </row>
    <row r="77" spans="1:15" ht="23.25" x14ac:dyDescent="0.35">
      <c r="A77" s="45"/>
      <c r="B77" s="45"/>
      <c r="C77" s="45"/>
      <c r="D77" s="45"/>
      <c r="E77" s="45"/>
      <c r="F77" s="45"/>
      <c r="G77" s="45"/>
      <c r="H77" s="49" t="s">
        <v>101</v>
      </c>
      <c r="I77" s="49">
        <v>0</v>
      </c>
      <c r="J77" s="49">
        <v>5</v>
      </c>
      <c r="K77" s="45"/>
      <c r="L77" s="45"/>
      <c r="M77" s="45"/>
      <c r="N77" s="45"/>
      <c r="O77" s="45"/>
    </row>
    <row r="78" spans="1:15" ht="23.25" x14ac:dyDescent="0.35">
      <c r="A78" s="45"/>
      <c r="B78" s="45"/>
      <c r="C78" s="45"/>
      <c r="D78" s="45"/>
      <c r="E78" s="45"/>
      <c r="F78" s="45"/>
      <c r="G78" s="45"/>
      <c r="H78" s="108" t="s">
        <v>45</v>
      </c>
      <c r="I78" s="46">
        <f>SUM(I72:I77)</f>
        <v>1</v>
      </c>
      <c r="J78" s="46">
        <f>SUM(J72:J77)</f>
        <v>8</v>
      </c>
      <c r="K78" s="45"/>
      <c r="L78" s="45"/>
      <c r="M78" s="45"/>
      <c r="N78" s="45"/>
      <c r="O78" s="45"/>
    </row>
    <row r="79" spans="1:15" ht="23.25" x14ac:dyDescent="0.35">
      <c r="A79" s="45"/>
      <c r="B79" s="45"/>
      <c r="C79" s="45"/>
      <c r="D79" s="45"/>
      <c r="E79" s="45"/>
      <c r="F79" s="45"/>
      <c r="G79" s="45"/>
      <c r="H79" s="108"/>
      <c r="I79" s="109">
        <f>I78+J78</f>
        <v>9</v>
      </c>
      <c r="J79" s="109"/>
      <c r="K79" s="45"/>
      <c r="L79" s="45"/>
      <c r="M79" s="45"/>
      <c r="N79" s="45"/>
      <c r="O79" s="45"/>
    </row>
    <row r="80" spans="1:15" ht="23.25" x14ac:dyDescent="0.35">
      <c r="A80" s="45"/>
      <c r="B80" s="45"/>
      <c r="C80" s="45"/>
      <c r="D80" s="45"/>
      <c r="E80" s="45"/>
      <c r="F80" s="45"/>
      <c r="G80" s="45"/>
      <c r="H80" s="65"/>
      <c r="I80" s="65"/>
      <c r="J80" s="59"/>
      <c r="K80" s="45"/>
      <c r="L80" s="45"/>
      <c r="M80" s="45"/>
      <c r="N80" s="45"/>
      <c r="O80" s="45"/>
    </row>
    <row r="81" spans="1:15" ht="23.25" x14ac:dyDescent="0.3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</row>
    <row r="82" spans="1:15" ht="23.25" x14ac:dyDescent="0.35">
      <c r="A82" s="119" t="s">
        <v>268</v>
      </c>
      <c r="B82" s="120"/>
      <c r="C82" s="120"/>
      <c r="D82" s="120"/>
      <c r="E82" s="120"/>
      <c r="F82" s="120"/>
      <c r="G82" s="120"/>
      <c r="H82" s="120"/>
      <c r="I82" s="120"/>
      <c r="J82" s="121"/>
      <c r="K82" s="45"/>
      <c r="L82" s="45"/>
      <c r="M82" s="45"/>
      <c r="N82" s="45"/>
      <c r="O82" s="45"/>
    </row>
    <row r="83" spans="1:15" ht="23.25" x14ac:dyDescent="0.35">
      <c r="A83" s="129" t="s">
        <v>17</v>
      </c>
      <c r="B83" s="130"/>
      <c r="C83" s="131"/>
      <c r="D83" s="67" t="s">
        <v>20</v>
      </c>
      <c r="E83" s="67" t="s">
        <v>21</v>
      </c>
      <c r="F83" s="67" t="s">
        <v>8</v>
      </c>
      <c r="G83" s="45"/>
      <c r="H83" s="132" t="s">
        <v>39</v>
      </c>
      <c r="I83" s="132"/>
      <c r="J83" s="132"/>
      <c r="K83" s="45"/>
      <c r="L83" s="45"/>
      <c r="M83" s="45"/>
      <c r="N83" s="45"/>
      <c r="O83" s="45"/>
    </row>
    <row r="84" spans="1:15" ht="23.25" x14ac:dyDescent="0.35">
      <c r="A84" s="48" t="s">
        <v>18</v>
      </c>
      <c r="B84" s="69"/>
      <c r="C84" s="69"/>
      <c r="D84" s="49">
        <v>7</v>
      </c>
      <c r="E84" s="49">
        <f>+'Gingoog BL'!E18</f>
        <v>0</v>
      </c>
      <c r="F84" s="49">
        <f>+'Gingoog BL'!F18</f>
        <v>0</v>
      </c>
      <c r="G84" s="45"/>
      <c r="H84" s="47"/>
      <c r="I84" s="50" t="s">
        <v>4</v>
      </c>
      <c r="J84" s="50" t="s">
        <v>98</v>
      </c>
      <c r="K84" s="45"/>
      <c r="L84" s="45"/>
      <c r="M84" s="45"/>
      <c r="N84" s="45"/>
      <c r="O84" s="45"/>
    </row>
    <row r="85" spans="1:15" ht="23.25" x14ac:dyDescent="0.35">
      <c r="A85" s="81" t="s">
        <v>42</v>
      </c>
      <c r="B85" s="82"/>
      <c r="C85" s="82"/>
      <c r="D85" s="51">
        <f>+'Gingoog BL'!D19</f>
        <v>0</v>
      </c>
      <c r="E85" s="51">
        <f>+'Gingoog BL'!E19</f>
        <v>7</v>
      </c>
      <c r="F85" s="51">
        <f>+'Gingoog BL'!F19</f>
        <v>0</v>
      </c>
      <c r="G85" s="45"/>
      <c r="H85" s="52" t="s">
        <v>7</v>
      </c>
      <c r="I85" s="49"/>
      <c r="J85" s="49"/>
      <c r="K85" s="45"/>
      <c r="L85" s="45"/>
      <c r="M85" s="45"/>
      <c r="N85" s="45"/>
      <c r="O85" s="45"/>
    </row>
    <row r="86" spans="1:15" ht="23.25" x14ac:dyDescent="0.35">
      <c r="A86" s="48"/>
      <c r="B86" s="69"/>
      <c r="C86" s="69"/>
      <c r="D86" s="69"/>
      <c r="E86" s="56" t="s">
        <v>16</v>
      </c>
      <c r="F86" s="57">
        <f>+'Gingoog BL'!F20</f>
        <v>7</v>
      </c>
      <c r="G86" s="45"/>
      <c r="H86" s="49" t="s">
        <v>99</v>
      </c>
      <c r="I86" s="49">
        <v>0</v>
      </c>
      <c r="J86" s="49">
        <v>0</v>
      </c>
      <c r="K86" s="45"/>
      <c r="L86" s="45"/>
      <c r="M86" s="45"/>
      <c r="N86" s="45"/>
      <c r="O86" s="45"/>
    </row>
    <row r="87" spans="1:15" ht="23.25" x14ac:dyDescent="0.35">
      <c r="A87" s="45"/>
      <c r="B87" s="45"/>
      <c r="C87" s="45"/>
      <c r="D87" s="45"/>
      <c r="E87" s="45"/>
      <c r="F87" s="45"/>
      <c r="G87" s="45"/>
      <c r="H87" s="49" t="s">
        <v>100</v>
      </c>
      <c r="I87" s="49">
        <v>0</v>
      </c>
      <c r="J87" s="49">
        <v>2</v>
      </c>
      <c r="K87" s="45"/>
      <c r="L87" s="45"/>
      <c r="M87" s="45"/>
      <c r="N87" s="45"/>
      <c r="O87" s="45"/>
    </row>
    <row r="88" spans="1:15" ht="23.25" x14ac:dyDescent="0.35">
      <c r="A88" s="45"/>
      <c r="B88" s="45"/>
      <c r="C88" s="45"/>
      <c r="D88" s="45"/>
      <c r="E88" s="45"/>
      <c r="F88" s="45"/>
      <c r="G88" s="45"/>
      <c r="H88" s="52" t="s">
        <v>44</v>
      </c>
      <c r="I88" s="49"/>
      <c r="J88" s="49"/>
      <c r="K88" s="45"/>
      <c r="L88" s="45"/>
      <c r="M88" s="45"/>
      <c r="N88" s="45"/>
      <c r="O88" s="45"/>
    </row>
    <row r="89" spans="1:15" ht="23.25" x14ac:dyDescent="0.35">
      <c r="A89" s="45"/>
      <c r="B89" s="45"/>
      <c r="C89" s="45"/>
      <c r="D89" s="45"/>
      <c r="E89" s="45"/>
      <c r="F89" s="45"/>
      <c r="G89" s="45"/>
      <c r="H89" s="49" t="s">
        <v>101</v>
      </c>
      <c r="I89" s="49">
        <v>0</v>
      </c>
      <c r="J89" s="49">
        <v>5</v>
      </c>
      <c r="K89" s="45"/>
      <c r="L89" s="45"/>
      <c r="M89" s="45"/>
      <c r="N89" s="45"/>
      <c r="O89" s="45"/>
    </row>
    <row r="90" spans="1:15" ht="23.25" x14ac:dyDescent="0.35">
      <c r="A90" s="45"/>
      <c r="B90" s="45"/>
      <c r="C90" s="45"/>
      <c r="D90" s="45"/>
      <c r="E90" s="45"/>
      <c r="F90" s="45"/>
      <c r="G90" s="45"/>
      <c r="H90" s="108" t="s">
        <v>45</v>
      </c>
      <c r="I90" s="46">
        <f>SUM(I85:I89)</f>
        <v>0</v>
      </c>
      <c r="J90" s="46">
        <f>SUM(J85:J89)</f>
        <v>7</v>
      </c>
      <c r="K90" s="45"/>
      <c r="L90" s="45"/>
      <c r="M90" s="45"/>
      <c r="N90" s="45"/>
      <c r="O90" s="45"/>
    </row>
    <row r="91" spans="1:15" ht="23.25" x14ac:dyDescent="0.35">
      <c r="A91" s="45"/>
      <c r="B91" s="45"/>
      <c r="C91" s="45"/>
      <c r="D91" s="45"/>
      <c r="E91" s="45"/>
      <c r="F91" s="45"/>
      <c r="G91" s="45"/>
      <c r="H91" s="108"/>
      <c r="I91" s="109">
        <f>I90+J90</f>
        <v>7</v>
      </c>
      <c r="J91" s="109"/>
      <c r="K91" s="45"/>
      <c r="L91" s="45"/>
      <c r="M91" s="45"/>
      <c r="N91" s="45"/>
      <c r="O91" s="45"/>
    </row>
    <row r="92" spans="1:15" ht="23.25" x14ac:dyDescent="0.35">
      <c r="A92" s="45"/>
      <c r="B92" s="45"/>
      <c r="C92" s="45"/>
      <c r="D92" s="45"/>
      <c r="E92" s="45"/>
      <c r="F92" s="45"/>
      <c r="G92" s="45"/>
      <c r="H92" s="65"/>
      <c r="I92" s="65"/>
      <c r="J92" s="59"/>
      <c r="K92" s="45"/>
      <c r="L92" s="45"/>
      <c r="M92" s="45"/>
      <c r="N92" s="45"/>
      <c r="O92" s="45"/>
    </row>
    <row r="93" spans="1:15" ht="23.25" x14ac:dyDescent="0.35">
      <c r="A93" s="119" t="s">
        <v>269</v>
      </c>
      <c r="B93" s="120"/>
      <c r="C93" s="120"/>
      <c r="D93" s="120"/>
      <c r="E93" s="120"/>
      <c r="F93" s="120"/>
      <c r="G93" s="120"/>
      <c r="H93" s="120"/>
      <c r="I93" s="120"/>
      <c r="J93" s="121"/>
      <c r="K93" s="45"/>
      <c r="L93" s="45"/>
      <c r="M93" s="45"/>
      <c r="N93" s="45"/>
      <c r="O93" s="45"/>
    </row>
    <row r="94" spans="1:15" ht="23.25" x14ac:dyDescent="0.35">
      <c r="A94" s="129" t="s">
        <v>17</v>
      </c>
      <c r="B94" s="130"/>
      <c r="C94" s="131"/>
      <c r="D94" s="67" t="s">
        <v>20</v>
      </c>
      <c r="E94" s="67" t="s">
        <v>21</v>
      </c>
      <c r="F94" s="67" t="s">
        <v>8</v>
      </c>
      <c r="G94" s="45"/>
      <c r="H94" s="132" t="s">
        <v>39</v>
      </c>
      <c r="I94" s="132"/>
      <c r="J94" s="132"/>
      <c r="K94" s="45"/>
      <c r="L94" s="45"/>
      <c r="M94" s="45"/>
      <c r="N94" s="45"/>
      <c r="O94" s="45"/>
    </row>
    <row r="95" spans="1:15" ht="23.25" x14ac:dyDescent="0.35">
      <c r="A95" s="48" t="s">
        <v>18</v>
      </c>
      <c r="B95" s="69"/>
      <c r="C95" s="69"/>
      <c r="D95" s="49">
        <f>+'Camiguin BL'!D16</f>
        <v>4</v>
      </c>
      <c r="E95" s="49">
        <f>+'Camiguin BL'!E16</f>
        <v>0</v>
      </c>
      <c r="F95" s="49">
        <f>+'Camiguin BL'!F16</f>
        <v>0</v>
      </c>
      <c r="G95" s="45"/>
      <c r="H95" s="47"/>
      <c r="I95" s="50" t="s">
        <v>4</v>
      </c>
      <c r="J95" s="50" t="s">
        <v>98</v>
      </c>
      <c r="K95" s="45"/>
      <c r="L95" s="45"/>
      <c r="M95" s="45"/>
      <c r="N95" s="45"/>
      <c r="O95" s="45"/>
    </row>
    <row r="96" spans="1:15" ht="23.25" x14ac:dyDescent="0.35">
      <c r="A96" s="81" t="s">
        <v>42</v>
      </c>
      <c r="B96" s="82"/>
      <c r="C96" s="82"/>
      <c r="D96" s="51">
        <f>+'Camiguin BL'!D17</f>
        <v>0</v>
      </c>
      <c r="E96" s="51">
        <f>+'Camiguin BL'!E17</f>
        <v>4</v>
      </c>
      <c r="F96" s="51">
        <f>+'Camiguin BL'!F17</f>
        <v>0</v>
      </c>
      <c r="G96" s="45"/>
      <c r="H96" s="52" t="s">
        <v>7</v>
      </c>
      <c r="I96" s="49"/>
      <c r="J96" s="49"/>
      <c r="K96" s="45"/>
      <c r="L96" s="45"/>
      <c r="M96" s="45"/>
      <c r="N96" s="45"/>
      <c r="O96" s="45"/>
    </row>
    <row r="97" spans="1:15" ht="23.25" x14ac:dyDescent="0.35">
      <c r="A97" s="48"/>
      <c r="B97" s="69"/>
      <c r="C97" s="69"/>
      <c r="D97" s="69"/>
      <c r="E97" s="56" t="s">
        <v>16</v>
      </c>
      <c r="F97" s="57">
        <f>+'Camiguin BL'!F18</f>
        <v>4</v>
      </c>
      <c r="G97" s="45"/>
      <c r="H97" s="49" t="s">
        <v>99</v>
      </c>
      <c r="I97" s="49">
        <v>0</v>
      </c>
      <c r="J97" s="49">
        <v>0</v>
      </c>
      <c r="K97" s="45"/>
      <c r="L97" s="45"/>
      <c r="M97" s="45"/>
      <c r="N97" s="45"/>
      <c r="O97" s="45"/>
    </row>
    <row r="98" spans="1:15" ht="23.25" x14ac:dyDescent="0.35">
      <c r="A98" s="45"/>
      <c r="B98" s="45"/>
      <c r="C98" s="45"/>
      <c r="D98" s="45"/>
      <c r="E98" s="45"/>
      <c r="F98" s="45"/>
      <c r="G98" s="45"/>
      <c r="H98" s="49" t="s">
        <v>100</v>
      </c>
      <c r="I98" s="49">
        <v>0</v>
      </c>
      <c r="J98" s="49">
        <v>0</v>
      </c>
      <c r="K98" s="45"/>
      <c r="L98" s="45"/>
      <c r="M98" s="45"/>
      <c r="N98" s="45"/>
      <c r="O98" s="45"/>
    </row>
    <row r="99" spans="1:15" ht="23.25" x14ac:dyDescent="0.35">
      <c r="A99" s="45"/>
      <c r="B99" s="45"/>
      <c r="C99" s="45"/>
      <c r="D99" s="45"/>
      <c r="E99" s="45"/>
      <c r="F99" s="45"/>
      <c r="G99" s="45"/>
      <c r="H99" s="52" t="s">
        <v>44</v>
      </c>
      <c r="I99" s="49"/>
      <c r="J99" s="49"/>
      <c r="K99" s="45"/>
      <c r="L99" s="45"/>
      <c r="M99" s="45"/>
      <c r="N99" s="45"/>
      <c r="O99" s="45"/>
    </row>
    <row r="100" spans="1:15" ht="23.25" x14ac:dyDescent="0.35">
      <c r="A100" s="45"/>
      <c r="B100" s="45"/>
      <c r="C100" s="45"/>
      <c r="D100" s="45"/>
      <c r="E100" s="45"/>
      <c r="F100" s="45"/>
      <c r="G100" s="45"/>
      <c r="H100" s="49" t="s">
        <v>101</v>
      </c>
      <c r="I100" s="49">
        <v>0</v>
      </c>
      <c r="J100" s="49">
        <v>4</v>
      </c>
      <c r="K100" s="45"/>
      <c r="L100" s="45"/>
      <c r="M100" s="45"/>
      <c r="N100" s="45"/>
      <c r="O100" s="45"/>
    </row>
    <row r="101" spans="1:15" ht="23.25" x14ac:dyDescent="0.35">
      <c r="A101" s="45"/>
      <c r="B101" s="45"/>
      <c r="C101" s="45"/>
      <c r="D101" s="45"/>
      <c r="E101" s="45"/>
      <c r="F101" s="45"/>
      <c r="G101" s="45"/>
      <c r="H101" s="108" t="s">
        <v>45</v>
      </c>
      <c r="I101" s="46">
        <f>SUM(I96:I100)</f>
        <v>0</v>
      </c>
      <c r="J101" s="46">
        <f>SUM(J96:J100)</f>
        <v>4</v>
      </c>
      <c r="K101" s="45"/>
      <c r="L101" s="45"/>
      <c r="M101" s="45"/>
      <c r="N101" s="45"/>
      <c r="O101" s="45"/>
    </row>
    <row r="102" spans="1:15" ht="23.25" x14ac:dyDescent="0.35">
      <c r="A102" s="45"/>
      <c r="B102" s="45"/>
      <c r="C102" s="45"/>
      <c r="D102" s="45"/>
      <c r="E102" s="45"/>
      <c r="F102" s="45"/>
      <c r="G102" s="45"/>
      <c r="H102" s="108"/>
      <c r="I102" s="109">
        <f>I101+J101</f>
        <v>4</v>
      </c>
      <c r="J102" s="109"/>
      <c r="K102" s="45"/>
      <c r="L102" s="45"/>
      <c r="M102" s="45"/>
      <c r="N102" s="45"/>
      <c r="O102" s="45"/>
    </row>
    <row r="105" spans="1:15" ht="23.25" x14ac:dyDescent="0.35">
      <c r="A105" s="119" t="s">
        <v>314</v>
      </c>
      <c r="B105" s="120"/>
      <c r="C105" s="120"/>
      <c r="D105" s="120"/>
      <c r="E105" s="120"/>
      <c r="F105" s="120"/>
      <c r="G105" s="120"/>
      <c r="H105" s="120"/>
      <c r="I105" s="120"/>
      <c r="J105" s="121"/>
    </row>
    <row r="106" spans="1:15" ht="23.25" x14ac:dyDescent="0.35">
      <c r="A106" s="129" t="s">
        <v>17</v>
      </c>
      <c r="B106" s="130"/>
      <c r="C106" s="131"/>
      <c r="D106" s="67" t="s">
        <v>20</v>
      </c>
      <c r="E106" s="67" t="s">
        <v>21</v>
      </c>
      <c r="F106" s="67" t="s">
        <v>8</v>
      </c>
      <c r="G106" s="45"/>
      <c r="H106" s="132" t="s">
        <v>39</v>
      </c>
      <c r="I106" s="132"/>
      <c r="J106" s="132"/>
    </row>
    <row r="107" spans="1:15" ht="23.25" x14ac:dyDescent="0.35">
      <c r="A107" s="48" t="s">
        <v>18</v>
      </c>
      <c r="B107" s="69"/>
      <c r="C107" s="69"/>
      <c r="D107" s="49">
        <v>5</v>
      </c>
      <c r="E107" s="49">
        <f>+'Camiguin BL'!E32</f>
        <v>0</v>
      </c>
      <c r="F107" s="49">
        <f>+'Camiguin BL'!F32</f>
        <v>0</v>
      </c>
      <c r="G107" s="45"/>
      <c r="H107" s="47"/>
      <c r="I107" s="50" t="s">
        <v>4</v>
      </c>
      <c r="J107" s="50" t="s">
        <v>98</v>
      </c>
    </row>
    <row r="108" spans="1:15" ht="23.25" x14ac:dyDescent="0.35">
      <c r="A108" s="81" t="s">
        <v>42</v>
      </c>
      <c r="B108" s="82"/>
      <c r="C108" s="82"/>
      <c r="D108" s="51">
        <f>+'Camiguin BL'!D33</f>
        <v>0</v>
      </c>
      <c r="E108" s="51">
        <v>5</v>
      </c>
      <c r="F108" s="51">
        <f>+'Camiguin BL'!F33</f>
        <v>0</v>
      </c>
      <c r="G108" s="45"/>
      <c r="H108" s="52" t="s">
        <v>7</v>
      </c>
      <c r="I108" s="49"/>
      <c r="J108" s="49"/>
    </row>
    <row r="109" spans="1:15" ht="23.25" x14ac:dyDescent="0.35">
      <c r="A109" s="48"/>
      <c r="B109" s="69"/>
      <c r="C109" s="69"/>
      <c r="D109" s="69"/>
      <c r="E109" s="56" t="s">
        <v>16</v>
      </c>
      <c r="F109" s="57">
        <v>5</v>
      </c>
      <c r="G109" s="45"/>
      <c r="H109" s="49" t="s">
        <v>99</v>
      </c>
      <c r="I109" s="49">
        <v>0</v>
      </c>
      <c r="J109" s="49">
        <v>0</v>
      </c>
    </row>
    <row r="110" spans="1:15" ht="23.25" x14ac:dyDescent="0.35">
      <c r="A110" s="45"/>
      <c r="B110" s="45"/>
      <c r="C110" s="45"/>
      <c r="D110" s="45"/>
      <c r="E110" s="45"/>
      <c r="F110" s="45"/>
      <c r="G110" s="45"/>
      <c r="H110" s="49" t="s">
        <v>100</v>
      </c>
      <c r="I110" s="49">
        <v>1</v>
      </c>
      <c r="J110" s="49">
        <v>1</v>
      </c>
    </row>
    <row r="111" spans="1:15" ht="23.25" x14ac:dyDescent="0.35">
      <c r="A111" s="45"/>
      <c r="B111" s="45"/>
      <c r="C111" s="45"/>
      <c r="D111" s="45"/>
      <c r="E111" s="45"/>
      <c r="F111" s="45"/>
      <c r="G111" s="45"/>
      <c r="H111" s="52" t="s">
        <v>44</v>
      </c>
      <c r="I111" s="49"/>
      <c r="J111" s="49"/>
    </row>
    <row r="112" spans="1:15" ht="23.25" x14ac:dyDescent="0.35">
      <c r="A112" s="45"/>
      <c r="B112" s="45"/>
      <c r="C112" s="45"/>
      <c r="D112" s="45"/>
      <c r="E112" s="45"/>
      <c r="F112" s="45"/>
      <c r="G112" s="45"/>
      <c r="H112" s="49" t="s">
        <v>101</v>
      </c>
      <c r="I112" s="49">
        <v>0</v>
      </c>
      <c r="J112" s="49">
        <v>3</v>
      </c>
    </row>
    <row r="113" spans="1:10" ht="23.25" x14ac:dyDescent="0.35">
      <c r="A113" s="45"/>
      <c r="B113" s="45"/>
      <c r="C113" s="45"/>
      <c r="D113" s="45"/>
      <c r="E113" s="45"/>
      <c r="F113" s="45"/>
      <c r="G113" s="45"/>
      <c r="H113" s="108" t="s">
        <v>45</v>
      </c>
      <c r="I113" s="46">
        <f>SUM(I108:I112)</f>
        <v>1</v>
      </c>
      <c r="J113" s="46">
        <f>SUM(J108:J112)</f>
        <v>4</v>
      </c>
    </row>
    <row r="114" spans="1:10" ht="23.25" x14ac:dyDescent="0.35">
      <c r="A114" s="45"/>
      <c r="B114" s="45"/>
      <c r="C114" s="45"/>
      <c r="D114" s="45"/>
      <c r="E114" s="45"/>
      <c r="F114" s="45"/>
      <c r="G114" s="45"/>
      <c r="H114" s="108"/>
      <c r="I114" s="109">
        <f>I113+J113</f>
        <v>5</v>
      </c>
      <c r="J114" s="109"/>
    </row>
  </sheetData>
  <mergeCells count="108">
    <mergeCell ref="A35:J35"/>
    <mergeCell ref="M29:N29"/>
    <mergeCell ref="M28:N28"/>
    <mergeCell ref="M27:N27"/>
    <mergeCell ref="M52:N52"/>
    <mergeCell ref="M34:N34"/>
    <mergeCell ref="M50:N50"/>
    <mergeCell ref="L46:O46"/>
    <mergeCell ref="M49:N49"/>
    <mergeCell ref="M48:N48"/>
    <mergeCell ref="M62:N62"/>
    <mergeCell ref="M63:N63"/>
    <mergeCell ref="A38:C38"/>
    <mergeCell ref="A58:C58"/>
    <mergeCell ref="H58:J58"/>
    <mergeCell ref="A59:C59"/>
    <mergeCell ref="A47:C47"/>
    <mergeCell ref="L39:N39"/>
    <mergeCell ref="M47:N47"/>
    <mergeCell ref="A46:J46"/>
    <mergeCell ref="M51:N51"/>
    <mergeCell ref="M58:N58"/>
    <mergeCell ref="M57:N57"/>
    <mergeCell ref="M56:N56"/>
    <mergeCell ref="M55:N55"/>
    <mergeCell ref="L61:O61"/>
    <mergeCell ref="M59:N59"/>
    <mergeCell ref="M60:N60"/>
    <mergeCell ref="M54:N54"/>
    <mergeCell ref="M53:N53"/>
    <mergeCell ref="H47:J47"/>
    <mergeCell ref="M38:N38"/>
    <mergeCell ref="S18:T18"/>
    <mergeCell ref="S20:T20"/>
    <mergeCell ref="I22:J22"/>
    <mergeCell ref="A11:C11"/>
    <mergeCell ref="A27:C27"/>
    <mergeCell ref="A36:C36"/>
    <mergeCell ref="H36:J36"/>
    <mergeCell ref="A37:C37"/>
    <mergeCell ref="H32:H33"/>
    <mergeCell ref="I33:J33"/>
    <mergeCell ref="M33:N33"/>
    <mergeCell ref="M32:N32"/>
    <mergeCell ref="M37:N37"/>
    <mergeCell ref="L25:O25"/>
    <mergeCell ref="L24:O24"/>
    <mergeCell ref="L35:N35"/>
    <mergeCell ref="M19:N19"/>
    <mergeCell ref="M18:N18"/>
    <mergeCell ref="M17:N17"/>
    <mergeCell ref="M16:N16"/>
    <mergeCell ref="M12:N12"/>
    <mergeCell ref="M11:N11"/>
    <mergeCell ref="M20:N20"/>
    <mergeCell ref="L30:N30"/>
    <mergeCell ref="M64:N64"/>
    <mergeCell ref="H101:H102"/>
    <mergeCell ref="I102:J102"/>
    <mergeCell ref="H65:H66"/>
    <mergeCell ref="I66:J66"/>
    <mergeCell ref="H78:H79"/>
    <mergeCell ref="I79:J79"/>
    <mergeCell ref="H90:H91"/>
    <mergeCell ref="I91:J91"/>
    <mergeCell ref="A69:J69"/>
    <mergeCell ref="A82:J82"/>
    <mergeCell ref="A93:J93"/>
    <mergeCell ref="L69:O69"/>
    <mergeCell ref="M72:O72"/>
    <mergeCell ref="M71:O71"/>
    <mergeCell ref="A94:C94"/>
    <mergeCell ref="H94:J94"/>
    <mergeCell ref="A83:C83"/>
    <mergeCell ref="H83:J83"/>
    <mergeCell ref="M70:O70"/>
    <mergeCell ref="A1:O1"/>
    <mergeCell ref="A2:O2"/>
    <mergeCell ref="A3:O3"/>
    <mergeCell ref="A9:C9"/>
    <mergeCell ref="H9:J9"/>
    <mergeCell ref="L7:O7"/>
    <mergeCell ref="A26:C26"/>
    <mergeCell ref="A10:C10"/>
    <mergeCell ref="A25:C25"/>
    <mergeCell ref="H25:J25"/>
    <mergeCell ref="H21:H22"/>
    <mergeCell ref="A24:J24"/>
    <mergeCell ref="A7:J7"/>
    <mergeCell ref="L9:N9"/>
    <mergeCell ref="L10:N10"/>
    <mergeCell ref="M26:N26"/>
    <mergeCell ref="M15:N15"/>
    <mergeCell ref="A105:J105"/>
    <mergeCell ref="A106:C106"/>
    <mergeCell ref="H106:J106"/>
    <mergeCell ref="H113:H114"/>
    <mergeCell ref="I114:J114"/>
    <mergeCell ref="A48:C48"/>
    <mergeCell ref="A49:C49"/>
    <mergeCell ref="H43:H44"/>
    <mergeCell ref="I44:J44"/>
    <mergeCell ref="H54:H55"/>
    <mergeCell ref="I55:J55"/>
    <mergeCell ref="A60:C60"/>
    <mergeCell ref="H70:J70"/>
    <mergeCell ref="A70:C70"/>
    <mergeCell ref="A57:J57"/>
  </mergeCells>
  <phoneticPr fontId="8" type="noConversion"/>
  <pageMargins left="0.25" right="0.25" top="0.75" bottom="0.75" header="0.3" footer="0.3"/>
  <pageSetup paperSize="14" scale="29" fitToHeight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K13"/>
  <sheetViews>
    <sheetView zoomScale="85" zoomScaleNormal="85" workbookViewId="0">
      <selection activeCell="B4" sqref="B4:K4"/>
    </sheetView>
  </sheetViews>
  <sheetFormatPr defaultColWidth="9.28515625" defaultRowHeight="15" x14ac:dyDescent="0.25"/>
  <cols>
    <col min="1" max="1" width="4.5703125" style="16" customWidth="1"/>
    <col min="2" max="2" width="9.28515625" style="15"/>
    <col min="3" max="3" width="31.28515625" style="17" customWidth="1"/>
    <col min="4" max="4" width="17.28515625" style="15" customWidth="1"/>
    <col min="5" max="5" width="15.5703125" style="15" customWidth="1"/>
    <col min="6" max="6" width="13.5703125" style="15" customWidth="1"/>
    <col min="7" max="7" width="24" style="18" customWidth="1"/>
    <col min="8" max="8" width="17.5703125" style="18" customWidth="1"/>
    <col min="9" max="9" width="19.42578125" style="18" customWidth="1"/>
    <col min="10" max="10" width="18.28515625" style="15" customWidth="1"/>
    <col min="11" max="11" width="14.28515625" style="18" customWidth="1"/>
    <col min="12" max="12" width="4.42578125" style="16" customWidth="1"/>
    <col min="13" max="16384" width="9.28515625" style="16"/>
  </cols>
  <sheetData>
    <row r="2" spans="2:11" x14ac:dyDescent="0.25">
      <c r="B2" s="98" t="s">
        <v>22</v>
      </c>
      <c r="C2" s="98"/>
      <c r="D2" s="98"/>
      <c r="E2" s="98"/>
      <c r="F2" s="98"/>
      <c r="G2" s="98"/>
      <c r="H2" s="98"/>
      <c r="I2" s="98"/>
      <c r="J2" s="98"/>
      <c r="K2" s="98"/>
    </row>
    <row r="3" spans="2:11" x14ac:dyDescent="0.25">
      <c r="B3" s="98" t="s">
        <v>23</v>
      </c>
      <c r="C3" s="98"/>
      <c r="D3" s="98"/>
      <c r="E3" s="98"/>
      <c r="F3" s="98"/>
      <c r="G3" s="98"/>
      <c r="H3" s="98"/>
      <c r="I3" s="98"/>
      <c r="J3" s="98"/>
      <c r="K3" s="98"/>
    </row>
    <row r="4" spans="2:11" x14ac:dyDescent="0.25">
      <c r="B4" s="98" t="s">
        <v>279</v>
      </c>
      <c r="C4" s="98"/>
      <c r="D4" s="98"/>
      <c r="E4" s="98"/>
      <c r="F4" s="98"/>
      <c r="G4" s="98"/>
      <c r="H4" s="98"/>
      <c r="I4" s="98"/>
      <c r="J4" s="98"/>
      <c r="K4" s="98"/>
    </row>
    <row r="5" spans="2:11" ht="9" customHeight="1" x14ac:dyDescent="0.25">
      <c r="B5" s="107"/>
      <c r="C5" s="107"/>
      <c r="D5" s="107"/>
      <c r="E5" s="107"/>
      <c r="F5" s="107"/>
      <c r="G5" s="107"/>
      <c r="H5" s="107"/>
      <c r="I5" s="107"/>
      <c r="J5" s="107"/>
      <c r="K5" s="107"/>
    </row>
    <row r="6" spans="2:11" s="15" customFormat="1" ht="37.5" customHeight="1" x14ac:dyDescent="0.25">
      <c r="B6" s="159" t="s">
        <v>54</v>
      </c>
      <c r="C6" s="159"/>
      <c r="D6" s="19" t="s">
        <v>52</v>
      </c>
      <c r="E6" s="3" t="s">
        <v>55</v>
      </c>
      <c r="F6" s="3" t="s">
        <v>47</v>
      </c>
      <c r="G6" s="19" t="s">
        <v>63</v>
      </c>
      <c r="H6" s="19" t="s">
        <v>64</v>
      </c>
      <c r="I6" s="19" t="s">
        <v>65</v>
      </c>
      <c r="J6" s="19" t="s">
        <v>56</v>
      </c>
      <c r="K6" s="19" t="s">
        <v>58</v>
      </c>
    </row>
    <row r="7" spans="2:11" ht="51.75" customHeight="1" x14ac:dyDescent="0.25">
      <c r="B7" s="24">
        <v>1</v>
      </c>
      <c r="C7" s="25" t="s">
        <v>57</v>
      </c>
      <c r="D7" s="14" t="s">
        <v>53</v>
      </c>
      <c r="E7" s="5">
        <v>10</v>
      </c>
      <c r="F7" s="5">
        <v>4</v>
      </c>
      <c r="G7" s="20" t="s">
        <v>66</v>
      </c>
      <c r="H7" s="20">
        <v>87482054</v>
      </c>
      <c r="I7" s="20" t="s">
        <v>67</v>
      </c>
      <c r="J7" s="21">
        <v>43475</v>
      </c>
      <c r="K7" s="20" t="s">
        <v>59</v>
      </c>
    </row>
    <row r="8" spans="2:11" ht="51" customHeight="1" x14ac:dyDescent="0.25">
      <c r="B8" s="24">
        <v>2</v>
      </c>
      <c r="C8" s="25" t="s">
        <v>60</v>
      </c>
      <c r="D8" s="14" t="s">
        <v>61</v>
      </c>
      <c r="E8" s="5">
        <v>2016</v>
      </c>
      <c r="F8" s="5">
        <v>8</v>
      </c>
      <c r="G8" s="20" t="s">
        <v>68</v>
      </c>
      <c r="H8" s="20">
        <v>68213266</v>
      </c>
      <c r="I8" s="20">
        <v>100103668</v>
      </c>
      <c r="J8" s="21">
        <v>42816</v>
      </c>
      <c r="K8" s="20" t="s">
        <v>62</v>
      </c>
    </row>
    <row r="9" spans="2:11" ht="51" customHeight="1" x14ac:dyDescent="0.25">
      <c r="B9" s="24">
        <v>3</v>
      </c>
      <c r="C9" s="25" t="s">
        <v>57</v>
      </c>
      <c r="D9" s="14" t="s">
        <v>53</v>
      </c>
      <c r="E9" s="5">
        <v>10</v>
      </c>
      <c r="F9" s="5">
        <v>24</v>
      </c>
      <c r="G9" s="20" t="s">
        <v>66</v>
      </c>
      <c r="H9" s="20">
        <v>68213269</v>
      </c>
      <c r="I9" s="20">
        <v>100103667</v>
      </c>
      <c r="J9" s="21">
        <v>42816</v>
      </c>
      <c r="K9" s="20" t="s">
        <v>59</v>
      </c>
    </row>
    <row r="10" spans="2:11" ht="51" customHeight="1" x14ac:dyDescent="0.25">
      <c r="B10" s="24">
        <v>4</v>
      </c>
      <c r="C10" s="25" t="s">
        <v>69</v>
      </c>
      <c r="D10" s="14" t="s">
        <v>70</v>
      </c>
      <c r="E10" s="5">
        <v>7</v>
      </c>
      <c r="F10" s="5">
        <v>60</v>
      </c>
      <c r="G10" s="20" t="s">
        <v>71</v>
      </c>
      <c r="H10" s="20">
        <v>48539746</v>
      </c>
      <c r="I10" s="22" t="s">
        <v>72</v>
      </c>
      <c r="J10" s="21">
        <v>40687</v>
      </c>
      <c r="K10" s="20" t="s">
        <v>59</v>
      </c>
    </row>
    <row r="11" spans="2:11" ht="34.5" customHeight="1" x14ac:dyDescent="0.25">
      <c r="B11" s="24">
        <v>5</v>
      </c>
      <c r="C11" s="25" t="s">
        <v>73</v>
      </c>
      <c r="D11" s="23" t="s">
        <v>74</v>
      </c>
      <c r="E11" s="5">
        <v>2010</v>
      </c>
      <c r="F11" s="5">
        <v>25</v>
      </c>
      <c r="G11" s="20" t="s">
        <v>75</v>
      </c>
      <c r="H11" s="20">
        <v>48539745</v>
      </c>
      <c r="I11" s="22" t="s">
        <v>76</v>
      </c>
      <c r="J11" s="21">
        <v>40687</v>
      </c>
      <c r="K11" s="20" t="s">
        <v>40</v>
      </c>
    </row>
    <row r="12" spans="2:11" ht="51" customHeight="1" x14ac:dyDescent="0.25">
      <c r="B12" s="24">
        <v>6</v>
      </c>
      <c r="C12" s="25" t="s">
        <v>77</v>
      </c>
      <c r="D12" s="14" t="s">
        <v>78</v>
      </c>
      <c r="E12" s="5">
        <v>2008</v>
      </c>
      <c r="F12" s="5">
        <v>40</v>
      </c>
      <c r="G12" s="20" t="s">
        <v>75</v>
      </c>
      <c r="H12" s="20">
        <v>48539745</v>
      </c>
      <c r="I12" s="22" t="s">
        <v>76</v>
      </c>
      <c r="J12" s="21">
        <v>40687</v>
      </c>
      <c r="K12" s="20" t="s">
        <v>79</v>
      </c>
    </row>
    <row r="13" spans="2:11" ht="51" customHeight="1" x14ac:dyDescent="0.25">
      <c r="B13" s="24">
        <v>7</v>
      </c>
      <c r="C13" s="25" t="s">
        <v>80</v>
      </c>
      <c r="D13" s="14" t="s">
        <v>81</v>
      </c>
      <c r="E13" s="5" t="s">
        <v>82</v>
      </c>
      <c r="F13" s="5">
        <v>4</v>
      </c>
      <c r="G13" s="20" t="s">
        <v>75</v>
      </c>
      <c r="H13" s="20">
        <v>48539745</v>
      </c>
      <c r="I13" s="22" t="s">
        <v>76</v>
      </c>
      <c r="J13" s="21">
        <v>40687</v>
      </c>
      <c r="K13" s="20" t="s">
        <v>62</v>
      </c>
    </row>
  </sheetData>
  <mergeCells count="5">
    <mergeCell ref="B6:C6"/>
    <mergeCell ref="B2:K2"/>
    <mergeCell ref="B3:K3"/>
    <mergeCell ref="B4:K4"/>
    <mergeCell ref="B5:K5"/>
  </mergeCells>
  <pageMargins left="0.25" right="0.25" top="0.75" bottom="0.75" header="0.3" footer="0.3"/>
  <pageSetup scale="72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"/>
  <sheetViews>
    <sheetView workbookViewId="0">
      <selection activeCell="P32" sqref="P32"/>
    </sheetView>
  </sheetViews>
  <sheetFormatPr defaultRowHeight="15" x14ac:dyDescent="0.25"/>
  <sheetData>
    <row r="1" spans="1:1" x14ac:dyDescent="0.25">
      <c r="A1" t="s">
        <v>265</v>
      </c>
    </row>
    <row r="3" spans="1:1" x14ac:dyDescent="0.25">
      <c r="A3" t="s">
        <v>266</v>
      </c>
    </row>
    <row r="4" spans="1:1" x14ac:dyDescent="0.25">
      <c r="A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Purchase License Summary</vt:lpstr>
      <vt:lpstr>Head Office</vt:lpstr>
      <vt:lpstr>Main Office</vt:lpstr>
      <vt:lpstr>Jasaan Branch</vt:lpstr>
      <vt:lpstr>Salay Branch</vt:lpstr>
      <vt:lpstr>CDO Branch</vt:lpstr>
      <vt:lpstr>Maramag Branch</vt:lpstr>
      <vt:lpstr>Gingoog BL</vt:lpstr>
      <vt:lpstr>Camiguin BL</vt:lpstr>
      <vt:lpstr>Butuan BL</vt:lpstr>
      <vt:lpstr>Kibawe BL</vt:lpstr>
      <vt:lpstr>Spare</vt:lpstr>
      <vt:lpstr>Summary (2)</vt:lpstr>
      <vt:lpstr>Summary</vt:lpstr>
      <vt:lpstr>License Confirmation Summary</vt:lpstr>
      <vt:lpstr>Total</vt:lpstr>
      <vt:lpstr>'Butuan BL'!Print_Area</vt:lpstr>
      <vt:lpstr>'Camiguin BL'!Print_Area</vt:lpstr>
      <vt:lpstr>'CDO Branch'!Print_Area</vt:lpstr>
      <vt:lpstr>'Gingoog BL'!Print_Area</vt:lpstr>
      <vt:lpstr>'Head Office'!Print_Area</vt:lpstr>
      <vt:lpstr>'Jasaan Branch'!Print_Area</vt:lpstr>
      <vt:lpstr>'Kibawe BL'!Print_Area</vt:lpstr>
      <vt:lpstr>'Main Office'!Print_Area</vt:lpstr>
      <vt:lpstr>'Maramag Branch'!Print_Area</vt:lpstr>
      <vt:lpstr>'Purchase License Summary'!Print_Area</vt:lpstr>
      <vt:lpstr>'Salay Branch'!Print_Area</vt:lpstr>
      <vt:lpstr>Spare!Print_Area</vt:lpstr>
      <vt:lpstr>Summary!Print_Area</vt:lpstr>
      <vt:lpstr>'Summary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Staff</dc:creator>
  <cp:lastModifiedBy>MIS Section</cp:lastModifiedBy>
  <cp:lastPrinted>2025-06-17T09:14:14Z</cp:lastPrinted>
  <dcterms:created xsi:type="dcterms:W3CDTF">2018-03-15T03:28:28Z</dcterms:created>
  <dcterms:modified xsi:type="dcterms:W3CDTF">2025-10-23T08:18:14Z</dcterms:modified>
</cp:coreProperties>
</file>